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 T14s\Downloads\"/>
    </mc:Choice>
  </mc:AlternateContent>
  <xr:revisionPtr revIDLastSave="0" documentId="13_ncr:1_{0D32AD3E-4FC8-4B12-AC7C-DF73752209C5}" xr6:coauthVersionLast="47" xr6:coauthVersionMax="47" xr10:uidLastSave="{00000000-0000-0000-0000-000000000000}"/>
  <bookViews>
    <workbookView xWindow="-110" yWindow="-110" windowWidth="19420" windowHeight="10300" xr2:uid="{EFCC789C-4176-4A4F-8DE6-9FE3693F82F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4" i="1"/>
  <c r="I4" i="1" a="1"/>
  <c r="I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<sst xmlns="http://schemas.openxmlformats.org/spreadsheetml/2006/main" count="761" uniqueCount="359">
  <si>
    <t>No</t>
  </si>
  <si>
    <t>Tanggal</t>
  </si>
  <si>
    <t>Nama Produk</t>
  </si>
  <si>
    <t>Kategori</t>
  </si>
  <si>
    <t>Harga Satuan</t>
  </si>
  <si>
    <t>Minuman</t>
  </si>
  <si>
    <t>Total Harga</t>
  </si>
  <si>
    <t>Makanan</t>
  </si>
  <si>
    <t>Tunai</t>
  </si>
  <si>
    <t>QRIS</t>
  </si>
  <si>
    <t>Camilan</t>
  </si>
  <si>
    <t>Qty</t>
  </si>
  <si>
    <t>Pembayaran</t>
  </si>
  <si>
    <t>Nasi Kuning</t>
  </si>
  <si>
    <t>Kopi Susu</t>
  </si>
  <si>
    <t>Tempe Mendoan</t>
  </si>
  <si>
    <t>Mie Rebus</t>
  </si>
  <si>
    <t>Soda Gembira</t>
  </si>
  <si>
    <t>Siomay</t>
  </si>
  <si>
    <t>Kerupuk Kaleng</t>
  </si>
  <si>
    <t>Es Campur</t>
  </si>
  <si>
    <t>Sate Ayam</t>
  </si>
  <si>
    <t>Teh Botol</t>
  </si>
  <si>
    <t>Tahu Isi</t>
  </si>
  <si>
    <t>Gado-Gado</t>
  </si>
  <si>
    <t>Jus Mangga</t>
  </si>
  <si>
    <t>Bakso Sapi</t>
  </si>
  <si>
    <t>Es Kelapa Muda</t>
  </si>
  <si>
    <t>Risoles</t>
  </si>
  <si>
    <t>Bubur Ayam</t>
  </si>
  <si>
    <t>Nasi Pecel</t>
  </si>
  <si>
    <t>Wedang Jahe</t>
  </si>
  <si>
    <t>Singkong Goreng</t>
  </si>
  <si>
    <t>Capcay</t>
  </si>
  <si>
    <t>Es Degan</t>
  </si>
  <si>
    <t>Pempek</t>
  </si>
  <si>
    <t>Martabak Telur</t>
  </si>
  <si>
    <t>Air Kelapa</t>
  </si>
  <si>
    <t>Lontong Sayur</t>
  </si>
  <si>
    <t>Kwetiau Goreng</t>
  </si>
  <si>
    <t>Kopi Tubruk</t>
  </si>
  <si>
    <t>Bakwan Jagung</t>
  </si>
  <si>
    <t>Ayam Penyet</t>
  </si>
  <si>
    <t>Es Lemon Tea</t>
  </si>
  <si>
    <t>Rawon</t>
  </si>
  <si>
    <t>Kerupuk Udang</t>
  </si>
  <si>
    <t>Jus Jambu</t>
  </si>
  <si>
    <t>Soto Betawi</t>
  </si>
  <si>
    <t>Teh Hangat</t>
  </si>
  <si>
    <t>Nasi Balap</t>
  </si>
  <si>
    <t>Milo Hangat</t>
  </si>
  <si>
    <t>Pastel</t>
  </si>
  <si>
    <t>Mie Aceh</t>
  </si>
  <si>
    <t>Es Sirup</t>
  </si>
  <si>
    <t>Ikan Bakar</t>
  </si>
  <si>
    <t>Kacang Rebus</t>
  </si>
  <si>
    <t>Jus Tomat</t>
  </si>
  <si>
    <t>Nasi Gudeg</t>
  </si>
  <si>
    <t>Es Dawet</t>
  </si>
  <si>
    <t>Sop Buntut</t>
  </si>
  <si>
    <t>Kopi Luwak</t>
  </si>
  <si>
    <t>Molen</t>
  </si>
  <si>
    <t>Mie Ayam</t>
  </si>
  <si>
    <t>Es Teler</t>
  </si>
  <si>
    <t>Puyung Hai</t>
  </si>
  <si>
    <t>Emping Melinjo</t>
  </si>
  <si>
    <t>Jus Melon</t>
  </si>
  <si>
    <t>Nasi Liwet</t>
  </si>
  <si>
    <t>Es Cincau</t>
  </si>
  <si>
    <t>Bebek Goreng</t>
  </si>
  <si>
    <t>Kopi Espresso</t>
  </si>
  <si>
    <t>Lemper Ayam</t>
  </si>
  <si>
    <t>Nasi Timbel</t>
  </si>
  <si>
    <t>Es Sari Tebu</t>
  </si>
  <si>
    <t>Tahu Gejrot</t>
  </si>
  <si>
    <t>Laksa</t>
  </si>
  <si>
    <t>Jus Naga</t>
  </si>
  <si>
    <t>Nasi Bakar</t>
  </si>
  <si>
    <t>Es Kelapa Jeruk</t>
  </si>
  <si>
    <t>Martabak Manis</t>
  </si>
  <si>
    <t>Soto Kudus</t>
  </si>
  <si>
    <t>Wedang Ronde</t>
  </si>
  <si>
    <t>Otak-Otak</t>
  </si>
  <si>
    <t>Ayam Kremes</t>
  </si>
  <si>
    <t>Es Kacang Merah</t>
  </si>
  <si>
    <t>Pukis</t>
  </si>
  <si>
    <t>Nasi Padang</t>
  </si>
  <si>
    <t>Jus Wortel</t>
  </si>
  <si>
    <t>Mie Kocok</t>
  </si>
  <si>
    <t>Teh Tarik Dingin</t>
  </si>
  <si>
    <t>Cireng</t>
  </si>
  <si>
    <t>Pecel Lele</t>
  </si>
  <si>
    <t>Air Mineral Dingin</t>
  </si>
  <si>
    <t>ID Buku</t>
  </si>
  <si>
    <t>Judul Buku</t>
  </si>
  <si>
    <t>Penulis</t>
  </si>
  <si>
    <t>Tahun</t>
  </si>
  <si>
    <t>Status</t>
  </si>
  <si>
    <t>BUK-001</t>
  </si>
  <si>
    <t>Laskar Pelangi</t>
  </si>
  <si>
    <t>Andrea Hirata</t>
  </si>
  <si>
    <t>Fiksi</t>
  </si>
  <si>
    <t>Tersedia</t>
  </si>
  <si>
    <t>BUK-002</t>
  </si>
  <si>
    <t>Bumi</t>
  </si>
  <si>
    <t>Tere Liye</t>
  </si>
  <si>
    <t>Fantasi</t>
  </si>
  <si>
    <t>Dipinjam</t>
  </si>
  <si>
    <t>BUK-003</t>
  </si>
  <si>
    <t>Filosofi Teras</t>
  </si>
  <si>
    <t>Henry Manampiring</t>
  </si>
  <si>
    <t>Self-Help</t>
  </si>
  <si>
    <t>BUK-004</t>
  </si>
  <si>
    <t>Pulang</t>
  </si>
  <si>
    <t>Leila S. Chudori</t>
  </si>
  <si>
    <t>Sejarah</t>
  </si>
  <si>
    <t>BUK-005</t>
  </si>
  <si>
    <t>Cantik Itu Luka</t>
  </si>
  <si>
    <t>Eka Kurniawan</t>
  </si>
  <si>
    <t>Sastra</t>
  </si>
  <si>
    <t>BUK-006</t>
  </si>
  <si>
    <t>Negeri 5 Menara</t>
  </si>
  <si>
    <t>A. Fuadi</t>
  </si>
  <si>
    <t>BUK-007</t>
  </si>
  <si>
    <t>Perahu Kertas</t>
  </si>
  <si>
    <t>Dee Lestari</t>
  </si>
  <si>
    <t>Romansa</t>
  </si>
  <si>
    <t>BUK-008</t>
  </si>
  <si>
    <t>Ronggeng Dukuh Paruk</t>
  </si>
  <si>
    <t>Ahmad Tohari</t>
  </si>
  <si>
    <t>BUK-009</t>
  </si>
  <si>
    <t>Sang Pemimpi</t>
  </si>
  <si>
    <t>BUK-010</t>
  </si>
  <si>
    <t>Ayat-Ayat Cinta</t>
  </si>
  <si>
    <t>Habiburrahman El Shirazy</t>
  </si>
  <si>
    <t>Religi</t>
  </si>
  <si>
    <t>BUK-011</t>
  </si>
  <si>
    <t>Bulan</t>
  </si>
  <si>
    <t>BUK-012</t>
  </si>
  <si>
    <t>Hafalan Shalat Delisa</t>
  </si>
  <si>
    <t>BUK-013</t>
  </si>
  <si>
    <t>Supernova</t>
  </si>
  <si>
    <t>Fiksi Ilmiah</t>
  </si>
  <si>
    <t>BUK-014</t>
  </si>
  <si>
    <t>5 cm</t>
  </si>
  <si>
    <t>Donny Dhirgantoro</t>
  </si>
  <si>
    <t>Petualangan</t>
  </si>
  <si>
    <t>BUK-015</t>
  </si>
  <si>
    <t>Dilan 1990</t>
  </si>
  <si>
    <t>Pidi Baiq</t>
  </si>
  <si>
    <t>BUK-016</t>
  </si>
  <si>
    <t>Max Havelaar</t>
  </si>
  <si>
    <t>Multatuli</t>
  </si>
  <si>
    <t>BUK-017</t>
  </si>
  <si>
    <t>Gadis Kretek</t>
  </si>
  <si>
    <t>Ratih Kumala</t>
  </si>
  <si>
    <t>BUK-018</t>
  </si>
  <si>
    <t>Robohnya Surau Kami</t>
  </si>
  <si>
    <t>A.A. Navis</t>
  </si>
  <si>
    <t>BUK-019</t>
  </si>
  <si>
    <t>Tenggelamnya Kapal Van Der Wijck</t>
  </si>
  <si>
    <t>Hamka</t>
  </si>
  <si>
    <t>BUK-020</t>
  </si>
  <si>
    <t>Bumi Manusia</t>
  </si>
  <si>
    <t>Pramoedya Ananta Toer</t>
  </si>
  <si>
    <t>BUK-021</t>
  </si>
  <si>
    <t>Anak Semua Bangsa</t>
  </si>
  <si>
    <t>BUK-022</t>
  </si>
  <si>
    <t>Jejak Langkah</t>
  </si>
  <si>
    <t>BUK-023</t>
  </si>
  <si>
    <t>Rumah Kaca</t>
  </si>
  <si>
    <t>BUK-024</t>
  </si>
  <si>
    <t>Madilog</t>
  </si>
  <si>
    <t>Tan Malaka</t>
  </si>
  <si>
    <t>Filsafat</t>
  </si>
  <si>
    <t>BUK-025</t>
  </si>
  <si>
    <t>Tetralogi Buru</t>
  </si>
  <si>
    <t>BUK-026</t>
  </si>
  <si>
    <t>Edensor</t>
  </si>
  <si>
    <t>BUK-027</t>
  </si>
  <si>
    <t>Maryamah Karpov</t>
  </si>
  <si>
    <t>BUK-028</t>
  </si>
  <si>
    <t>Padang Bulan</t>
  </si>
  <si>
    <t>BUK-029</t>
  </si>
  <si>
    <t>Cinta di Dalam Gelas</t>
  </si>
  <si>
    <t>BUK-030</t>
  </si>
  <si>
    <t>Sirkus Pohon</t>
  </si>
  <si>
    <t>BUK-031</t>
  </si>
  <si>
    <t>Matahari</t>
  </si>
  <si>
    <t>BUK-032</t>
  </si>
  <si>
    <t>Bintang</t>
  </si>
  <si>
    <t>BUK-033</t>
  </si>
  <si>
    <t>Ceros dan Batozar</t>
  </si>
  <si>
    <t>BUK-034</t>
  </si>
  <si>
    <t>Komet</t>
  </si>
  <si>
    <t>BUK-035</t>
  </si>
  <si>
    <t>Komet Minor</t>
  </si>
  <si>
    <t>BUK-036</t>
  </si>
  <si>
    <t>Selena</t>
  </si>
  <si>
    <t>BUK-037</t>
  </si>
  <si>
    <t>Nebula</t>
  </si>
  <si>
    <t>BUK-038</t>
  </si>
  <si>
    <t>Si Putih</t>
  </si>
  <si>
    <t>BUK-039</t>
  </si>
  <si>
    <t>Lumpu</t>
  </si>
  <si>
    <t>BUK-040</t>
  </si>
  <si>
    <t>Sagaras</t>
  </si>
  <si>
    <t>BUK-041</t>
  </si>
  <si>
    <t>Aroma Karsa</t>
  </si>
  <si>
    <t>BUK-042</t>
  </si>
  <si>
    <t>Rapijali</t>
  </si>
  <si>
    <t>BUK-043</t>
  </si>
  <si>
    <t>Inteligensi Embun Pagi</t>
  </si>
  <si>
    <t>BUK-044</t>
  </si>
  <si>
    <t>Gelombang</t>
  </si>
  <si>
    <t>BUK-045</t>
  </si>
  <si>
    <t>Partikel</t>
  </si>
  <si>
    <t>BUK-046</t>
  </si>
  <si>
    <t>Akar</t>
  </si>
  <si>
    <t>BUK-047</t>
  </si>
  <si>
    <t>Rectoverso</t>
  </si>
  <si>
    <t>Antologi</t>
  </si>
  <si>
    <t>BUK-048</t>
  </si>
  <si>
    <t>Madre</t>
  </si>
  <si>
    <t>BUK-049</t>
  </si>
  <si>
    <t>Hujan</t>
  </si>
  <si>
    <t>BUK-050</t>
  </si>
  <si>
    <t>Rindu</t>
  </si>
  <si>
    <t>BUK-051</t>
  </si>
  <si>
    <t>Tentang Kamu</t>
  </si>
  <si>
    <t>BUK-052</t>
  </si>
  <si>
    <t>Sepatu Dahlan</t>
  </si>
  <si>
    <t>Khrisna Pabichara</t>
  </si>
  <si>
    <t>Biografi</t>
  </si>
  <si>
    <t>BUK-053</t>
  </si>
  <si>
    <t>Ranah 3 Warna</t>
  </si>
  <si>
    <t>BUK-054</t>
  </si>
  <si>
    <t>Rantau 1 Muara</t>
  </si>
  <si>
    <t>BUK-055</t>
  </si>
  <si>
    <t>Anak Rantau</t>
  </si>
  <si>
    <t>BUK-056</t>
  </si>
  <si>
    <t>Koala Kumal</t>
  </si>
  <si>
    <t>Raditya Dika</t>
  </si>
  <si>
    <t>Komedi</t>
  </si>
  <si>
    <t>BUK-057</t>
  </si>
  <si>
    <t>Manusia Setengah Salmon</t>
  </si>
  <si>
    <t>BUK-058</t>
  </si>
  <si>
    <t>Marmut Merah Jambu</t>
  </si>
  <si>
    <t>BUK-059</t>
  </si>
  <si>
    <t>Cinta Brontosaurus</t>
  </si>
  <si>
    <t>BUK-060</t>
  </si>
  <si>
    <t>Kambing Jantan</t>
  </si>
  <si>
    <t>BUK-061</t>
  </si>
  <si>
    <t>Critical Eleven</t>
  </si>
  <si>
    <t>Ika Natassa</t>
  </si>
  <si>
    <t>BUK-062</t>
  </si>
  <si>
    <t>Antologi Rasa</t>
  </si>
  <si>
    <t>BUK-063</t>
  </si>
  <si>
    <t>Twivortiare</t>
  </si>
  <si>
    <t>BUK-064</t>
  </si>
  <si>
    <t>Architecture of Love</t>
  </si>
  <si>
    <t>BUK-065</t>
  </si>
  <si>
    <t>Heartbreak Motel</t>
  </si>
  <si>
    <t>BUK-066</t>
  </si>
  <si>
    <t>Sabtu Bersama Bapak</t>
  </si>
  <si>
    <t>Adhitya Mulya</t>
  </si>
  <si>
    <t>Keluarga</t>
  </si>
  <si>
    <t>BUK-067</t>
  </si>
  <si>
    <t>Jomblo</t>
  </si>
  <si>
    <t>BUK-068</t>
  </si>
  <si>
    <t>Gege Mengejar Cinta</t>
  </si>
  <si>
    <t>BUK-069</t>
  </si>
  <si>
    <t>Traveler's Tale</t>
  </si>
  <si>
    <t>BUK-070</t>
  </si>
  <si>
    <t>Mencari Srimulat</t>
  </si>
  <si>
    <t>BUK-071</t>
  </si>
  <si>
    <t>Orang-Orang Biasa</t>
  </si>
  <si>
    <t>BUK-072</t>
  </si>
  <si>
    <t>Guru Aini</t>
  </si>
  <si>
    <t>BUK-073</t>
  </si>
  <si>
    <t>Brianna dan Mulampul</t>
  </si>
  <si>
    <t>BUK-074</t>
  </si>
  <si>
    <t>Laut Bercerita</t>
  </si>
  <si>
    <t>BUK-075</t>
  </si>
  <si>
    <t>Malam Terakhir</t>
  </si>
  <si>
    <t>BUK-076</t>
  </si>
  <si>
    <t>Amba</t>
  </si>
  <si>
    <t>Laksmi Pamuntjak</t>
  </si>
  <si>
    <t>BUK-077</t>
  </si>
  <si>
    <t>Aruna dan Lidahnya</t>
  </si>
  <si>
    <t>Kuliner</t>
  </si>
  <si>
    <t>BUK-078</t>
  </si>
  <si>
    <t>Lelaki Harimau</t>
  </si>
  <si>
    <t>BUK-079</t>
  </si>
  <si>
    <t>Seperti Dendam, Rindu Harus Dibayar Tuntas</t>
  </si>
  <si>
    <t>BUK-080</t>
  </si>
  <si>
    <t>O</t>
  </si>
  <si>
    <t>BUK-081</t>
  </si>
  <si>
    <t>Corat-coret di Toilet</t>
  </si>
  <si>
    <t>BUK-082</t>
  </si>
  <si>
    <t>Raden Mandasia</t>
  </si>
  <si>
    <t>Yusi Avianto Pareanom</t>
  </si>
  <si>
    <t>BUK-083</t>
  </si>
  <si>
    <t>Muslihat Musang</t>
  </si>
  <si>
    <t>BUK-084</t>
  </si>
  <si>
    <t>Sebuah Seni untuk Bersikap Bodo Amat</t>
  </si>
  <si>
    <t>Mark Manson</t>
  </si>
  <si>
    <t>BUK-085</t>
  </si>
  <si>
    <t>Atomic Habits</t>
  </si>
  <si>
    <t>James Clear</t>
  </si>
  <si>
    <t>BUK-086</t>
  </si>
  <si>
    <t>Sapiens</t>
  </si>
  <si>
    <t>Yuval Noah Harari</t>
  </si>
  <si>
    <t>Pengetahuan</t>
  </si>
  <si>
    <t>BUK-087</t>
  </si>
  <si>
    <t>Homo Deus</t>
  </si>
  <si>
    <t>BUK-088</t>
  </si>
  <si>
    <t>21 Pelajaran untuk Abad ke-21</t>
  </si>
  <si>
    <t>BUK-089</t>
  </si>
  <si>
    <t>Psychology of Money</t>
  </si>
  <si>
    <t>Morgan Housel</t>
  </si>
  <si>
    <t>Finansial</t>
  </si>
  <si>
    <t>BUK-090</t>
  </si>
  <si>
    <t>Rich Dad Poor Dad</t>
  </si>
  <si>
    <t>Robert Kiyosaki</t>
  </si>
  <si>
    <t>BUK-091</t>
  </si>
  <si>
    <t>Start With Why</t>
  </si>
  <si>
    <t>Simon Sinek</t>
  </si>
  <si>
    <t>Bisnis</t>
  </si>
  <si>
    <t>BUK-092</t>
  </si>
  <si>
    <t>Grit</t>
  </si>
  <si>
    <t>Angela Duckworth</t>
  </si>
  <si>
    <t>BUK-093</t>
  </si>
  <si>
    <t>Ikigai</t>
  </si>
  <si>
    <t>Héctor García</t>
  </si>
  <si>
    <t>BUK-094</t>
  </si>
  <si>
    <t>Thinking, Fast and Slow</t>
  </si>
  <si>
    <t>Daniel Kahneman</t>
  </si>
  <si>
    <t>Psikologi</t>
  </si>
  <si>
    <t>BUK-095</t>
  </si>
  <si>
    <t>Quiet</t>
  </si>
  <si>
    <t>Susan Cain</t>
  </si>
  <si>
    <t>BUK-096</t>
  </si>
  <si>
    <t>Outliers</t>
  </si>
  <si>
    <t>Malcolm Gladwell</t>
  </si>
  <si>
    <t>Sosiologi</t>
  </si>
  <si>
    <t>BUK-097</t>
  </si>
  <si>
    <t>Blink</t>
  </si>
  <si>
    <t>BUK-098</t>
  </si>
  <si>
    <t>The Tipping Point</t>
  </si>
  <si>
    <t>BUK-099</t>
  </si>
  <si>
    <t>Man's Search for Meaning</t>
  </si>
  <si>
    <t>Viktor Frankl</t>
  </si>
  <si>
    <t>BUK-100</t>
  </si>
  <si>
    <t>Meditations</t>
  </si>
  <si>
    <t>Marcus Aurelius</t>
  </si>
  <si>
    <t>Data Perpustakaan Digital Skomda</t>
  </si>
  <si>
    <t>Jumlah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</si>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</sst>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right" vertical="center" wrapText="1" indent="1" readingOrder="1"/>
    </xf>
    <xf numFmtId="14" fontId="1" fillId="0" borderId="1" xfId="0" applyNumberFormat="1" applyFont="1" applyBorder="1" applyAlignment="1">
      <alignment horizontal="right" vertical="center" wrapText="1" indent="1" readingOrder="1"/>
    </xf>
    <xf numFmtId="3" fontId="1" fillId="0" borderId="1" xfId="0" applyNumberFormat="1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4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9AF8-27A7-4FB0-A8A2-EA7C3CBA2776}">
  <dimension ref="A1:M103"/>
  <sheetViews>
    <sheetView tabSelected="1" workbookViewId="0">
      <selection activeCell="L12" sqref="L12"/>
    </sheetView>
  </sheetViews>
  <sheetFormatPr defaultRowHeight="14.5" x14ac:dyDescent="0.35"/>
  <cols>
    <col min="1" max="1" width="6" style="1" customWidth="1"/>
    <col min="2" max="2" width="13.81640625" style="1" customWidth="1"/>
    <col min="3" max="3" width="22" customWidth="1"/>
    <col min="4" max="4" width="20.90625" style="1" customWidth="1"/>
    <col min="5" max="5" width="13.90625" style="1" customWidth="1"/>
    <col min="6" max="6" width="8.7265625" style="1"/>
    <col min="7" max="7" width="15.08984375" style="1" customWidth="1"/>
  </cols>
  <sheetData>
    <row r="1" spans="1:13" ht="23.5" x14ac:dyDescent="0.55000000000000004">
      <c r="A1" s="10" t="s">
        <v>356</v>
      </c>
      <c r="B1" s="10"/>
      <c r="C1" s="10"/>
      <c r="D1" s="10"/>
      <c r="E1" s="10"/>
      <c r="F1" s="10"/>
      <c r="G1" s="10"/>
    </row>
    <row r="2" spans="1:13" ht="15" thickBot="1" x14ac:dyDescent="0.4"/>
    <row r="3" spans="1:13" ht="15" thickBot="1" x14ac:dyDescent="0.4">
      <c r="A3" s="8" t="s">
        <v>0</v>
      </c>
      <c r="B3" s="8" t="s">
        <v>93</v>
      </c>
      <c r="C3" s="3" t="s">
        <v>94</v>
      </c>
      <c r="D3" s="8" t="s">
        <v>95</v>
      </c>
      <c r="E3" s="8" t="s">
        <v>3</v>
      </c>
      <c r="F3" s="8" t="s">
        <v>96</v>
      </c>
      <c r="G3" s="8" t="s">
        <v>97</v>
      </c>
      <c r="I3" s="11" t="s">
        <v>3</v>
      </c>
      <c r="J3" s="11" t="s">
        <v>357</v>
      </c>
      <c r="L3" s="12" t="s">
        <v>107</v>
      </c>
      <c r="M3" s="12">
        <f>COUNTIF(G:G, "Dipinjam")</f>
        <v>33</v>
      </c>
    </row>
    <row r="4" spans="1:13" ht="15" thickBot="1" x14ac:dyDescent="0.4">
      <c r="A4" s="9">
        <v>1</v>
      </c>
      <c r="B4" s="9" t="s">
        <v>98</v>
      </c>
      <c r="C4" s="7" t="s">
        <v>99</v>
      </c>
      <c r="D4" s="9" t="s">
        <v>100</v>
      </c>
      <c r="E4" s="9" t="s">
        <v>101</v>
      </c>
      <c r="F4" s="9">
        <v>2005</v>
      </c>
      <c r="G4" s="9" t="s">
        <v>102</v>
      </c>
      <c r="I4" s="12" t="str" cm="1">
        <f t="array" ref="I4:I23">_xlfn.UNIQUE(E4:E103)</f>
        <v>Fiksi</v>
      </c>
      <c r="J4" s="12">
        <f>COUNTIF($E$4:$E$103, I4)</f>
        <v>15</v>
      </c>
      <c r="L4" s="12" t="s">
        <v>102</v>
      </c>
      <c r="M4" s="12">
        <f>COUNTIF(G:G,"Tersedia")</f>
        <v>67</v>
      </c>
    </row>
    <row r="5" spans="1:13" ht="15" thickBot="1" x14ac:dyDescent="0.4">
      <c r="A5" s="9">
        <v>2</v>
      </c>
      <c r="B5" s="9" t="s">
        <v>103</v>
      </c>
      <c r="C5" s="7" t="s">
        <v>104</v>
      </c>
      <c r="D5" s="9" t="s">
        <v>105</v>
      </c>
      <c r="E5" s="9" t="s">
        <v>106</v>
      </c>
      <c r="F5" s="9">
        <v>2014</v>
      </c>
      <c r="G5" s="9" t="s">
        <v>107</v>
      </c>
      <c r="I5" s="12" t="str">
        <v>Fantasi</v>
      </c>
      <c r="J5" s="12">
        <f t="shared" ref="J5:J23" si="0">COUNTIF($E$4:$E$103, I5)</f>
        <v>14</v>
      </c>
      <c r="L5" s="12" t="s">
        <v>358</v>
      </c>
      <c r="M5" s="12">
        <v>100</v>
      </c>
    </row>
    <row r="6" spans="1:13" ht="15" thickBot="1" x14ac:dyDescent="0.4">
      <c r="A6" s="9">
        <v>3</v>
      </c>
      <c r="B6" s="9" t="s">
        <v>108</v>
      </c>
      <c r="C6" s="7" t="s">
        <v>109</v>
      </c>
      <c r="D6" s="9" t="s">
        <v>110</v>
      </c>
      <c r="E6" s="9" t="s">
        <v>111</v>
      </c>
      <c r="F6" s="9">
        <v>2018</v>
      </c>
      <c r="G6" s="9" t="s">
        <v>102</v>
      </c>
      <c r="I6" s="12" t="str">
        <v>Self-Help</v>
      </c>
      <c r="J6" s="12">
        <f t="shared" si="0"/>
        <v>5</v>
      </c>
    </row>
    <row r="7" spans="1:13" ht="15" thickBot="1" x14ac:dyDescent="0.4">
      <c r="A7" s="9">
        <v>4</v>
      </c>
      <c r="B7" s="9" t="s">
        <v>112</v>
      </c>
      <c r="C7" s="7" t="s">
        <v>113</v>
      </c>
      <c r="D7" s="9" t="s">
        <v>114</v>
      </c>
      <c r="E7" s="9" t="s">
        <v>115</v>
      </c>
      <c r="F7" s="9">
        <v>2012</v>
      </c>
      <c r="G7" s="9" t="s">
        <v>102</v>
      </c>
      <c r="I7" s="12" t="str">
        <v>Sejarah</v>
      </c>
      <c r="J7" s="12">
        <f t="shared" si="0"/>
        <v>8</v>
      </c>
    </row>
    <row r="8" spans="1:13" ht="15" thickBot="1" x14ac:dyDescent="0.4">
      <c r="A8" s="9">
        <v>5</v>
      </c>
      <c r="B8" s="9" t="s">
        <v>116</v>
      </c>
      <c r="C8" s="7" t="s">
        <v>117</v>
      </c>
      <c r="D8" s="9" t="s">
        <v>118</v>
      </c>
      <c r="E8" s="9" t="s">
        <v>119</v>
      </c>
      <c r="F8" s="9">
        <v>2002</v>
      </c>
      <c r="G8" s="9" t="s">
        <v>107</v>
      </c>
      <c r="I8" s="12" t="str">
        <v>Sastra</v>
      </c>
      <c r="J8" s="12">
        <f t="shared" si="0"/>
        <v>10</v>
      </c>
    </row>
    <row r="9" spans="1:13" ht="15" thickBot="1" x14ac:dyDescent="0.4">
      <c r="A9" s="9">
        <v>6</v>
      </c>
      <c r="B9" s="9" t="s">
        <v>120</v>
      </c>
      <c r="C9" s="7" t="s">
        <v>121</v>
      </c>
      <c r="D9" s="9" t="s">
        <v>122</v>
      </c>
      <c r="E9" s="9" t="s">
        <v>101</v>
      </c>
      <c r="F9" s="9">
        <v>2009</v>
      </c>
      <c r="G9" s="9" t="s">
        <v>102</v>
      </c>
      <c r="I9" s="12" t="str">
        <v>Romansa</v>
      </c>
      <c r="J9" s="12">
        <f t="shared" si="0"/>
        <v>8</v>
      </c>
    </row>
    <row r="10" spans="1:13" ht="15" thickBot="1" x14ac:dyDescent="0.4">
      <c r="A10" s="9">
        <v>7</v>
      </c>
      <c r="B10" s="9" t="s">
        <v>123</v>
      </c>
      <c r="C10" s="7" t="s">
        <v>124</v>
      </c>
      <c r="D10" s="9" t="s">
        <v>125</v>
      </c>
      <c r="E10" s="9" t="s">
        <v>126</v>
      </c>
      <c r="F10" s="9">
        <v>2009</v>
      </c>
      <c r="G10" s="9" t="s">
        <v>102</v>
      </c>
      <c r="I10" s="12" t="str">
        <v>Religi</v>
      </c>
      <c r="J10" s="12">
        <f t="shared" si="0"/>
        <v>2</v>
      </c>
    </row>
    <row r="11" spans="1:13" ht="15" thickBot="1" x14ac:dyDescent="0.4">
      <c r="A11" s="9">
        <v>8</v>
      </c>
      <c r="B11" s="9" t="s">
        <v>127</v>
      </c>
      <c r="C11" s="7" t="s">
        <v>128</v>
      </c>
      <c r="D11" s="9" t="s">
        <v>129</v>
      </c>
      <c r="E11" s="9" t="s">
        <v>119</v>
      </c>
      <c r="F11" s="9">
        <v>1982</v>
      </c>
      <c r="G11" s="9" t="s">
        <v>107</v>
      </c>
      <c r="I11" s="12" t="str">
        <v>Fiksi Ilmiah</v>
      </c>
      <c r="J11" s="12">
        <f t="shared" si="0"/>
        <v>6</v>
      </c>
    </row>
    <row r="12" spans="1:13" ht="15" thickBot="1" x14ac:dyDescent="0.4">
      <c r="A12" s="9">
        <v>9</v>
      </c>
      <c r="B12" s="9" t="s">
        <v>130</v>
      </c>
      <c r="C12" s="7" t="s">
        <v>131</v>
      </c>
      <c r="D12" s="9" t="s">
        <v>100</v>
      </c>
      <c r="E12" s="9" t="s">
        <v>101</v>
      </c>
      <c r="F12" s="9">
        <v>2006</v>
      </c>
      <c r="G12" s="9" t="s">
        <v>102</v>
      </c>
      <c r="I12" s="12" t="str">
        <v>Petualangan</v>
      </c>
      <c r="J12" s="12">
        <f t="shared" si="0"/>
        <v>2</v>
      </c>
    </row>
    <row r="13" spans="1:13" ht="28.5" thickBot="1" x14ac:dyDescent="0.4">
      <c r="A13" s="9">
        <v>10</v>
      </c>
      <c r="B13" s="9" t="s">
        <v>132</v>
      </c>
      <c r="C13" s="7" t="s">
        <v>133</v>
      </c>
      <c r="D13" s="9" t="s">
        <v>134</v>
      </c>
      <c r="E13" s="9" t="s">
        <v>135</v>
      </c>
      <c r="F13" s="9">
        <v>2004</v>
      </c>
      <c r="G13" s="9" t="s">
        <v>102</v>
      </c>
      <c r="I13" s="12" t="str">
        <v>Filsafat</v>
      </c>
      <c r="J13" s="12">
        <f t="shared" si="0"/>
        <v>2</v>
      </c>
    </row>
    <row r="14" spans="1:13" ht="15" thickBot="1" x14ac:dyDescent="0.4">
      <c r="A14" s="9">
        <v>11</v>
      </c>
      <c r="B14" s="9" t="s">
        <v>136</v>
      </c>
      <c r="C14" s="7" t="s">
        <v>137</v>
      </c>
      <c r="D14" s="9" t="s">
        <v>105</v>
      </c>
      <c r="E14" s="9" t="s">
        <v>106</v>
      </c>
      <c r="F14" s="9">
        <v>2015</v>
      </c>
      <c r="G14" s="9" t="s">
        <v>107</v>
      </c>
      <c r="I14" s="12" t="str">
        <v>Antologi</v>
      </c>
      <c r="J14" s="12">
        <f t="shared" si="0"/>
        <v>5</v>
      </c>
    </row>
    <row r="15" spans="1:13" ht="15" thickBot="1" x14ac:dyDescent="0.4">
      <c r="A15" s="9">
        <v>12</v>
      </c>
      <c r="B15" s="9" t="s">
        <v>138</v>
      </c>
      <c r="C15" s="7" t="s">
        <v>139</v>
      </c>
      <c r="D15" s="9" t="s">
        <v>105</v>
      </c>
      <c r="E15" s="9" t="s">
        <v>135</v>
      </c>
      <c r="F15" s="9">
        <v>2005</v>
      </c>
      <c r="G15" s="9" t="s">
        <v>102</v>
      </c>
      <c r="I15" s="12" t="str">
        <v>Biografi</v>
      </c>
      <c r="J15" s="12">
        <f t="shared" si="0"/>
        <v>1</v>
      </c>
    </row>
    <row r="16" spans="1:13" ht="15" thickBot="1" x14ac:dyDescent="0.4">
      <c r="A16" s="9">
        <v>13</v>
      </c>
      <c r="B16" s="9" t="s">
        <v>140</v>
      </c>
      <c r="C16" s="7" t="s">
        <v>141</v>
      </c>
      <c r="D16" s="9" t="s">
        <v>125</v>
      </c>
      <c r="E16" s="9" t="s">
        <v>142</v>
      </c>
      <c r="F16" s="9">
        <v>2001</v>
      </c>
      <c r="G16" s="9" t="s">
        <v>102</v>
      </c>
      <c r="I16" s="12" t="str">
        <v>Komedi</v>
      </c>
      <c r="J16" s="12">
        <f t="shared" si="0"/>
        <v>8</v>
      </c>
    </row>
    <row r="17" spans="1:10" ht="15" thickBot="1" x14ac:dyDescent="0.4">
      <c r="A17" s="9">
        <v>14</v>
      </c>
      <c r="B17" s="9" t="s">
        <v>143</v>
      </c>
      <c r="C17" s="7" t="s">
        <v>144</v>
      </c>
      <c r="D17" s="9" t="s">
        <v>145</v>
      </c>
      <c r="E17" s="9" t="s">
        <v>146</v>
      </c>
      <c r="F17" s="9">
        <v>2005</v>
      </c>
      <c r="G17" s="9" t="s">
        <v>107</v>
      </c>
      <c r="I17" s="12" t="str">
        <v>Keluarga</v>
      </c>
      <c r="J17" s="12">
        <f t="shared" si="0"/>
        <v>1</v>
      </c>
    </row>
    <row r="18" spans="1:10" ht="15" thickBot="1" x14ac:dyDescent="0.4">
      <c r="A18" s="9">
        <v>15</v>
      </c>
      <c r="B18" s="9" t="s">
        <v>147</v>
      </c>
      <c r="C18" s="7" t="s">
        <v>148</v>
      </c>
      <c r="D18" s="9" t="s">
        <v>149</v>
      </c>
      <c r="E18" s="9" t="s">
        <v>126</v>
      </c>
      <c r="F18" s="9">
        <v>2014</v>
      </c>
      <c r="G18" s="9" t="s">
        <v>102</v>
      </c>
      <c r="I18" s="12" t="str">
        <v>Kuliner</v>
      </c>
      <c r="J18" s="12">
        <f t="shared" si="0"/>
        <v>1</v>
      </c>
    </row>
    <row r="19" spans="1:10" ht="15" thickBot="1" x14ac:dyDescent="0.4">
      <c r="A19" s="9">
        <v>16</v>
      </c>
      <c r="B19" s="9" t="s">
        <v>150</v>
      </c>
      <c r="C19" s="7" t="s">
        <v>151</v>
      </c>
      <c r="D19" s="9" t="s">
        <v>152</v>
      </c>
      <c r="E19" s="9" t="s">
        <v>115</v>
      </c>
      <c r="F19" s="9">
        <v>1860</v>
      </c>
      <c r="G19" s="9" t="s">
        <v>102</v>
      </c>
      <c r="I19" s="12" t="str">
        <v>Pengetahuan</v>
      </c>
      <c r="J19" s="12">
        <f t="shared" si="0"/>
        <v>3</v>
      </c>
    </row>
    <row r="20" spans="1:10" ht="15" thickBot="1" x14ac:dyDescent="0.4">
      <c r="A20" s="9">
        <v>17</v>
      </c>
      <c r="B20" s="9" t="s">
        <v>153</v>
      </c>
      <c r="C20" s="7" t="s">
        <v>154</v>
      </c>
      <c r="D20" s="9" t="s">
        <v>155</v>
      </c>
      <c r="E20" s="9" t="s">
        <v>119</v>
      </c>
      <c r="F20" s="9">
        <v>2012</v>
      </c>
      <c r="G20" s="9" t="s">
        <v>107</v>
      </c>
      <c r="I20" s="12" t="str">
        <v>Finansial</v>
      </c>
      <c r="J20" s="12">
        <f t="shared" si="0"/>
        <v>2</v>
      </c>
    </row>
    <row r="21" spans="1:10" ht="15" thickBot="1" x14ac:dyDescent="0.4">
      <c r="A21" s="9">
        <v>18</v>
      </c>
      <c r="B21" s="9" t="s">
        <v>156</v>
      </c>
      <c r="C21" s="7" t="s">
        <v>157</v>
      </c>
      <c r="D21" s="9" t="s">
        <v>158</v>
      </c>
      <c r="E21" s="9" t="s">
        <v>119</v>
      </c>
      <c r="F21" s="9">
        <v>1956</v>
      </c>
      <c r="G21" s="9" t="s">
        <v>102</v>
      </c>
      <c r="I21" s="12" t="str">
        <v>Bisnis</v>
      </c>
      <c r="J21" s="12">
        <f t="shared" si="0"/>
        <v>1</v>
      </c>
    </row>
    <row r="22" spans="1:10" ht="28.5" thickBot="1" x14ac:dyDescent="0.4">
      <c r="A22" s="9">
        <v>19</v>
      </c>
      <c r="B22" s="9" t="s">
        <v>159</v>
      </c>
      <c r="C22" s="7" t="s">
        <v>160</v>
      </c>
      <c r="D22" s="9" t="s">
        <v>161</v>
      </c>
      <c r="E22" s="9" t="s">
        <v>119</v>
      </c>
      <c r="F22" s="9">
        <v>1938</v>
      </c>
      <c r="G22" s="9" t="s">
        <v>102</v>
      </c>
      <c r="I22" s="12" t="str">
        <v>Psikologi</v>
      </c>
      <c r="J22" s="12">
        <f t="shared" si="0"/>
        <v>4</v>
      </c>
    </row>
    <row r="23" spans="1:10" ht="28.5" thickBot="1" x14ac:dyDescent="0.4">
      <c r="A23" s="9">
        <v>20</v>
      </c>
      <c r="B23" s="9" t="s">
        <v>162</v>
      </c>
      <c r="C23" s="7" t="s">
        <v>163</v>
      </c>
      <c r="D23" s="9" t="s">
        <v>164</v>
      </c>
      <c r="E23" s="9" t="s">
        <v>115</v>
      </c>
      <c r="F23" s="9">
        <v>1980</v>
      </c>
      <c r="G23" s="9" t="s">
        <v>107</v>
      </c>
      <c r="I23" s="12" t="str">
        <v>Sosiologi</v>
      </c>
      <c r="J23" s="12">
        <f t="shared" si="0"/>
        <v>2</v>
      </c>
    </row>
    <row r="24" spans="1:10" ht="28.5" thickBot="1" x14ac:dyDescent="0.4">
      <c r="A24" s="9">
        <v>21</v>
      </c>
      <c r="B24" s="9" t="s">
        <v>165</v>
      </c>
      <c r="C24" s="7" t="s">
        <v>166</v>
      </c>
      <c r="D24" s="9" t="s">
        <v>164</v>
      </c>
      <c r="E24" s="9" t="s">
        <v>115</v>
      </c>
      <c r="F24" s="9">
        <v>1981</v>
      </c>
      <c r="G24" s="9" t="s">
        <v>102</v>
      </c>
    </row>
    <row r="25" spans="1:10" ht="28.5" thickBot="1" x14ac:dyDescent="0.4">
      <c r="A25" s="9">
        <v>22</v>
      </c>
      <c r="B25" s="9" t="s">
        <v>167</v>
      </c>
      <c r="C25" s="7" t="s">
        <v>168</v>
      </c>
      <c r="D25" s="9" t="s">
        <v>164</v>
      </c>
      <c r="E25" s="9" t="s">
        <v>115</v>
      </c>
      <c r="F25" s="9">
        <v>1985</v>
      </c>
      <c r="G25" s="9" t="s">
        <v>102</v>
      </c>
    </row>
    <row r="26" spans="1:10" ht="28.5" thickBot="1" x14ac:dyDescent="0.4">
      <c r="A26" s="9">
        <v>23</v>
      </c>
      <c r="B26" s="9" t="s">
        <v>169</v>
      </c>
      <c r="C26" s="7" t="s">
        <v>170</v>
      </c>
      <c r="D26" s="9" t="s">
        <v>164</v>
      </c>
      <c r="E26" s="9" t="s">
        <v>115</v>
      </c>
      <c r="F26" s="9">
        <v>1988</v>
      </c>
      <c r="G26" s="9" t="s">
        <v>107</v>
      </c>
    </row>
    <row r="27" spans="1:10" ht="15" thickBot="1" x14ac:dyDescent="0.4">
      <c r="A27" s="9">
        <v>24</v>
      </c>
      <c r="B27" s="9" t="s">
        <v>171</v>
      </c>
      <c r="C27" s="7" t="s">
        <v>172</v>
      </c>
      <c r="D27" s="9" t="s">
        <v>173</v>
      </c>
      <c r="E27" s="9" t="s">
        <v>174</v>
      </c>
      <c r="F27" s="9">
        <v>1943</v>
      </c>
      <c r="G27" s="9" t="s">
        <v>102</v>
      </c>
    </row>
    <row r="28" spans="1:10" ht="28.5" thickBot="1" x14ac:dyDescent="0.4">
      <c r="A28" s="9">
        <v>25</v>
      </c>
      <c r="B28" s="9" t="s">
        <v>175</v>
      </c>
      <c r="C28" s="7" t="s">
        <v>176</v>
      </c>
      <c r="D28" s="9" t="s">
        <v>164</v>
      </c>
      <c r="E28" s="9" t="s">
        <v>119</v>
      </c>
      <c r="F28" s="9">
        <v>1980</v>
      </c>
      <c r="G28" s="9" t="s">
        <v>102</v>
      </c>
    </row>
    <row r="29" spans="1:10" ht="15" thickBot="1" x14ac:dyDescent="0.4">
      <c r="A29" s="9">
        <v>26</v>
      </c>
      <c r="B29" s="9" t="s">
        <v>177</v>
      </c>
      <c r="C29" s="7" t="s">
        <v>178</v>
      </c>
      <c r="D29" s="9" t="s">
        <v>100</v>
      </c>
      <c r="E29" s="9" t="s">
        <v>101</v>
      </c>
      <c r="F29" s="9">
        <v>2007</v>
      </c>
      <c r="G29" s="9" t="s">
        <v>107</v>
      </c>
    </row>
    <row r="30" spans="1:10" ht="15" thickBot="1" x14ac:dyDescent="0.4">
      <c r="A30" s="9">
        <v>27</v>
      </c>
      <c r="B30" s="9" t="s">
        <v>179</v>
      </c>
      <c r="C30" s="7" t="s">
        <v>180</v>
      </c>
      <c r="D30" s="9" t="s">
        <v>100</v>
      </c>
      <c r="E30" s="9" t="s">
        <v>101</v>
      </c>
      <c r="F30" s="9">
        <v>2008</v>
      </c>
      <c r="G30" s="9" t="s">
        <v>102</v>
      </c>
    </row>
    <row r="31" spans="1:10" ht="15" thickBot="1" x14ac:dyDescent="0.4">
      <c r="A31" s="9">
        <v>28</v>
      </c>
      <c r="B31" s="9" t="s">
        <v>181</v>
      </c>
      <c r="C31" s="7" t="s">
        <v>182</v>
      </c>
      <c r="D31" s="9" t="s">
        <v>100</v>
      </c>
      <c r="E31" s="9" t="s">
        <v>101</v>
      </c>
      <c r="F31" s="9">
        <v>2010</v>
      </c>
      <c r="G31" s="9" t="s">
        <v>102</v>
      </c>
    </row>
    <row r="32" spans="1:10" ht="15" thickBot="1" x14ac:dyDescent="0.4">
      <c r="A32" s="9">
        <v>29</v>
      </c>
      <c r="B32" s="9" t="s">
        <v>183</v>
      </c>
      <c r="C32" s="7" t="s">
        <v>184</v>
      </c>
      <c r="D32" s="9" t="s">
        <v>100</v>
      </c>
      <c r="E32" s="9" t="s">
        <v>101</v>
      </c>
      <c r="F32" s="9">
        <v>2010</v>
      </c>
      <c r="G32" s="9" t="s">
        <v>107</v>
      </c>
    </row>
    <row r="33" spans="1:7" ht="15" thickBot="1" x14ac:dyDescent="0.4">
      <c r="A33" s="9">
        <v>30</v>
      </c>
      <c r="B33" s="9" t="s">
        <v>185</v>
      </c>
      <c r="C33" s="7" t="s">
        <v>186</v>
      </c>
      <c r="D33" s="9" t="s">
        <v>100</v>
      </c>
      <c r="E33" s="9" t="s">
        <v>101</v>
      </c>
      <c r="F33" s="9">
        <v>2017</v>
      </c>
      <c r="G33" s="9" t="s">
        <v>102</v>
      </c>
    </row>
    <row r="34" spans="1:7" ht="15" thickBot="1" x14ac:dyDescent="0.4">
      <c r="A34" s="9">
        <v>31</v>
      </c>
      <c r="B34" s="9" t="s">
        <v>187</v>
      </c>
      <c r="C34" s="7" t="s">
        <v>188</v>
      </c>
      <c r="D34" s="9" t="s">
        <v>105</v>
      </c>
      <c r="E34" s="9" t="s">
        <v>106</v>
      </c>
      <c r="F34" s="9">
        <v>2016</v>
      </c>
      <c r="G34" s="9" t="s">
        <v>102</v>
      </c>
    </row>
    <row r="35" spans="1:7" ht="15" thickBot="1" x14ac:dyDescent="0.4">
      <c r="A35" s="9">
        <v>32</v>
      </c>
      <c r="B35" s="9" t="s">
        <v>189</v>
      </c>
      <c r="C35" s="7" t="s">
        <v>190</v>
      </c>
      <c r="D35" s="9" t="s">
        <v>105</v>
      </c>
      <c r="E35" s="9" t="s">
        <v>106</v>
      </c>
      <c r="F35" s="9">
        <v>2017</v>
      </c>
      <c r="G35" s="9" t="s">
        <v>107</v>
      </c>
    </row>
    <row r="36" spans="1:7" ht="15" thickBot="1" x14ac:dyDescent="0.4">
      <c r="A36" s="9">
        <v>33</v>
      </c>
      <c r="B36" s="9" t="s">
        <v>191</v>
      </c>
      <c r="C36" s="7" t="s">
        <v>192</v>
      </c>
      <c r="D36" s="9" t="s">
        <v>105</v>
      </c>
      <c r="E36" s="9" t="s">
        <v>106</v>
      </c>
      <c r="F36" s="9">
        <v>2018</v>
      </c>
      <c r="G36" s="9" t="s">
        <v>102</v>
      </c>
    </row>
    <row r="37" spans="1:7" ht="15" thickBot="1" x14ac:dyDescent="0.4">
      <c r="A37" s="9">
        <v>34</v>
      </c>
      <c r="B37" s="9" t="s">
        <v>193</v>
      </c>
      <c r="C37" s="7" t="s">
        <v>194</v>
      </c>
      <c r="D37" s="9" t="s">
        <v>105</v>
      </c>
      <c r="E37" s="9" t="s">
        <v>106</v>
      </c>
      <c r="F37" s="9">
        <v>2018</v>
      </c>
      <c r="G37" s="9" t="s">
        <v>102</v>
      </c>
    </row>
    <row r="38" spans="1:7" ht="15" thickBot="1" x14ac:dyDescent="0.4">
      <c r="A38" s="9">
        <v>35</v>
      </c>
      <c r="B38" s="9" t="s">
        <v>195</v>
      </c>
      <c r="C38" s="7" t="s">
        <v>196</v>
      </c>
      <c r="D38" s="9" t="s">
        <v>105</v>
      </c>
      <c r="E38" s="9" t="s">
        <v>106</v>
      </c>
      <c r="F38" s="9">
        <v>2019</v>
      </c>
      <c r="G38" s="9" t="s">
        <v>107</v>
      </c>
    </row>
    <row r="39" spans="1:7" ht="15" thickBot="1" x14ac:dyDescent="0.4">
      <c r="A39" s="9">
        <v>36</v>
      </c>
      <c r="B39" s="9" t="s">
        <v>197</v>
      </c>
      <c r="C39" s="7" t="s">
        <v>198</v>
      </c>
      <c r="D39" s="9" t="s">
        <v>105</v>
      </c>
      <c r="E39" s="9" t="s">
        <v>106</v>
      </c>
      <c r="F39" s="9">
        <v>2020</v>
      </c>
      <c r="G39" s="9" t="s">
        <v>102</v>
      </c>
    </row>
    <row r="40" spans="1:7" ht="15" thickBot="1" x14ac:dyDescent="0.4">
      <c r="A40" s="9">
        <v>37</v>
      </c>
      <c r="B40" s="9" t="s">
        <v>199</v>
      </c>
      <c r="C40" s="7" t="s">
        <v>200</v>
      </c>
      <c r="D40" s="9" t="s">
        <v>105</v>
      </c>
      <c r="E40" s="9" t="s">
        <v>106</v>
      </c>
      <c r="F40" s="9">
        <v>2020</v>
      </c>
      <c r="G40" s="9" t="s">
        <v>102</v>
      </c>
    </row>
    <row r="41" spans="1:7" ht="15" thickBot="1" x14ac:dyDescent="0.4">
      <c r="A41" s="9">
        <v>38</v>
      </c>
      <c r="B41" s="9" t="s">
        <v>201</v>
      </c>
      <c r="C41" s="7" t="s">
        <v>202</v>
      </c>
      <c r="D41" s="9" t="s">
        <v>105</v>
      </c>
      <c r="E41" s="9" t="s">
        <v>106</v>
      </c>
      <c r="F41" s="9">
        <v>2021</v>
      </c>
      <c r="G41" s="9" t="s">
        <v>107</v>
      </c>
    </row>
    <row r="42" spans="1:7" ht="15" thickBot="1" x14ac:dyDescent="0.4">
      <c r="A42" s="9">
        <v>39</v>
      </c>
      <c r="B42" s="9" t="s">
        <v>203</v>
      </c>
      <c r="C42" s="7" t="s">
        <v>204</v>
      </c>
      <c r="D42" s="9" t="s">
        <v>105</v>
      </c>
      <c r="E42" s="9" t="s">
        <v>106</v>
      </c>
      <c r="F42" s="9">
        <v>2021</v>
      </c>
      <c r="G42" s="9" t="s">
        <v>102</v>
      </c>
    </row>
    <row r="43" spans="1:7" ht="15" thickBot="1" x14ac:dyDescent="0.4">
      <c r="A43" s="9">
        <v>40</v>
      </c>
      <c r="B43" s="9" t="s">
        <v>205</v>
      </c>
      <c r="C43" s="7" t="s">
        <v>206</v>
      </c>
      <c r="D43" s="9" t="s">
        <v>105</v>
      </c>
      <c r="E43" s="9" t="s">
        <v>106</v>
      </c>
      <c r="F43" s="9">
        <v>2022</v>
      </c>
      <c r="G43" s="9" t="s">
        <v>102</v>
      </c>
    </row>
    <row r="44" spans="1:7" ht="15" thickBot="1" x14ac:dyDescent="0.4">
      <c r="A44" s="9">
        <v>41</v>
      </c>
      <c r="B44" s="9" t="s">
        <v>207</v>
      </c>
      <c r="C44" s="7" t="s">
        <v>208</v>
      </c>
      <c r="D44" s="9" t="s">
        <v>125</v>
      </c>
      <c r="E44" s="9" t="s">
        <v>106</v>
      </c>
      <c r="F44" s="9">
        <v>2018</v>
      </c>
      <c r="G44" s="9" t="s">
        <v>107</v>
      </c>
    </row>
    <row r="45" spans="1:7" ht="15" thickBot="1" x14ac:dyDescent="0.4">
      <c r="A45" s="9">
        <v>42</v>
      </c>
      <c r="B45" s="9" t="s">
        <v>209</v>
      </c>
      <c r="C45" s="7" t="s">
        <v>210</v>
      </c>
      <c r="D45" s="9" t="s">
        <v>125</v>
      </c>
      <c r="E45" s="9" t="s">
        <v>101</v>
      </c>
      <c r="F45" s="9">
        <v>2021</v>
      </c>
      <c r="G45" s="9" t="s">
        <v>102</v>
      </c>
    </row>
    <row r="46" spans="1:7" ht="15" thickBot="1" x14ac:dyDescent="0.4">
      <c r="A46" s="9">
        <v>43</v>
      </c>
      <c r="B46" s="9" t="s">
        <v>211</v>
      </c>
      <c r="C46" s="7" t="s">
        <v>212</v>
      </c>
      <c r="D46" s="9" t="s">
        <v>125</v>
      </c>
      <c r="E46" s="9" t="s">
        <v>142</v>
      </c>
      <c r="F46" s="9">
        <v>2016</v>
      </c>
      <c r="G46" s="9" t="s">
        <v>102</v>
      </c>
    </row>
    <row r="47" spans="1:7" ht="15" thickBot="1" x14ac:dyDescent="0.4">
      <c r="A47" s="9">
        <v>44</v>
      </c>
      <c r="B47" s="9" t="s">
        <v>213</v>
      </c>
      <c r="C47" s="7" t="s">
        <v>214</v>
      </c>
      <c r="D47" s="9" t="s">
        <v>125</v>
      </c>
      <c r="E47" s="9" t="s">
        <v>142</v>
      </c>
      <c r="F47" s="9">
        <v>2014</v>
      </c>
      <c r="G47" s="9" t="s">
        <v>107</v>
      </c>
    </row>
    <row r="48" spans="1:7" ht="15" thickBot="1" x14ac:dyDescent="0.4">
      <c r="A48" s="9">
        <v>45</v>
      </c>
      <c r="B48" s="9" t="s">
        <v>215</v>
      </c>
      <c r="C48" s="7" t="s">
        <v>216</v>
      </c>
      <c r="D48" s="9" t="s">
        <v>125</v>
      </c>
      <c r="E48" s="9" t="s">
        <v>142</v>
      </c>
      <c r="F48" s="9">
        <v>2012</v>
      </c>
      <c r="G48" s="9" t="s">
        <v>102</v>
      </c>
    </row>
    <row r="49" spans="1:7" ht="15" thickBot="1" x14ac:dyDescent="0.4">
      <c r="A49" s="9">
        <v>46</v>
      </c>
      <c r="B49" s="9" t="s">
        <v>217</v>
      </c>
      <c r="C49" s="7" t="s">
        <v>218</v>
      </c>
      <c r="D49" s="9" t="s">
        <v>125</v>
      </c>
      <c r="E49" s="9" t="s">
        <v>142</v>
      </c>
      <c r="F49" s="9">
        <v>2002</v>
      </c>
      <c r="G49" s="9" t="s">
        <v>102</v>
      </c>
    </row>
    <row r="50" spans="1:7" ht="15" thickBot="1" x14ac:dyDescent="0.4">
      <c r="A50" s="9">
        <v>47</v>
      </c>
      <c r="B50" s="9" t="s">
        <v>219</v>
      </c>
      <c r="C50" s="7" t="s">
        <v>220</v>
      </c>
      <c r="D50" s="9" t="s">
        <v>125</v>
      </c>
      <c r="E50" s="9" t="s">
        <v>221</v>
      </c>
      <c r="F50" s="9">
        <v>2008</v>
      </c>
      <c r="G50" s="9" t="s">
        <v>107</v>
      </c>
    </row>
    <row r="51" spans="1:7" ht="15" thickBot="1" x14ac:dyDescent="0.4">
      <c r="A51" s="9">
        <v>48</v>
      </c>
      <c r="B51" s="9" t="s">
        <v>222</v>
      </c>
      <c r="C51" s="7" t="s">
        <v>223</v>
      </c>
      <c r="D51" s="9" t="s">
        <v>125</v>
      </c>
      <c r="E51" s="9" t="s">
        <v>221</v>
      </c>
      <c r="F51" s="9">
        <v>2011</v>
      </c>
      <c r="G51" s="9" t="s">
        <v>102</v>
      </c>
    </row>
    <row r="52" spans="1:7" ht="15" thickBot="1" x14ac:dyDescent="0.4">
      <c r="A52" s="9">
        <v>49</v>
      </c>
      <c r="B52" s="9" t="s">
        <v>224</v>
      </c>
      <c r="C52" s="7" t="s">
        <v>225</v>
      </c>
      <c r="D52" s="9" t="s">
        <v>105</v>
      </c>
      <c r="E52" s="9" t="s">
        <v>142</v>
      </c>
      <c r="F52" s="9">
        <v>2016</v>
      </c>
      <c r="G52" s="9" t="s">
        <v>102</v>
      </c>
    </row>
    <row r="53" spans="1:7" ht="15" thickBot="1" x14ac:dyDescent="0.4">
      <c r="A53" s="9">
        <v>50</v>
      </c>
      <c r="B53" s="9" t="s">
        <v>226</v>
      </c>
      <c r="C53" s="7" t="s">
        <v>227</v>
      </c>
      <c r="D53" s="9" t="s">
        <v>105</v>
      </c>
      <c r="E53" s="9" t="s">
        <v>115</v>
      </c>
      <c r="F53" s="9">
        <v>2014</v>
      </c>
      <c r="G53" s="9" t="s">
        <v>107</v>
      </c>
    </row>
    <row r="54" spans="1:7" ht="15" thickBot="1" x14ac:dyDescent="0.4">
      <c r="A54" s="9">
        <v>51</v>
      </c>
      <c r="B54" s="9" t="s">
        <v>228</v>
      </c>
      <c r="C54" s="7" t="s">
        <v>229</v>
      </c>
      <c r="D54" s="9" t="s">
        <v>105</v>
      </c>
      <c r="E54" s="9" t="s">
        <v>126</v>
      </c>
      <c r="F54" s="9">
        <v>2016</v>
      </c>
      <c r="G54" s="9" t="s">
        <v>102</v>
      </c>
    </row>
    <row r="55" spans="1:7" ht="15" thickBot="1" x14ac:dyDescent="0.4">
      <c r="A55" s="9">
        <v>52</v>
      </c>
      <c r="B55" s="9" t="s">
        <v>230</v>
      </c>
      <c r="C55" s="7" t="s">
        <v>231</v>
      </c>
      <c r="D55" s="9" t="s">
        <v>232</v>
      </c>
      <c r="E55" s="9" t="s">
        <v>233</v>
      </c>
      <c r="F55" s="9">
        <v>2012</v>
      </c>
      <c r="G55" s="9" t="s">
        <v>102</v>
      </c>
    </row>
    <row r="56" spans="1:7" ht="15" thickBot="1" x14ac:dyDescent="0.4">
      <c r="A56" s="9">
        <v>53</v>
      </c>
      <c r="B56" s="9" t="s">
        <v>234</v>
      </c>
      <c r="C56" s="7" t="s">
        <v>235</v>
      </c>
      <c r="D56" s="9" t="s">
        <v>122</v>
      </c>
      <c r="E56" s="9" t="s">
        <v>101</v>
      </c>
      <c r="F56" s="9">
        <v>2011</v>
      </c>
      <c r="G56" s="9" t="s">
        <v>107</v>
      </c>
    </row>
    <row r="57" spans="1:7" ht="15" thickBot="1" x14ac:dyDescent="0.4">
      <c r="A57" s="9">
        <v>54</v>
      </c>
      <c r="B57" s="9" t="s">
        <v>236</v>
      </c>
      <c r="C57" s="7" t="s">
        <v>237</v>
      </c>
      <c r="D57" s="9" t="s">
        <v>122</v>
      </c>
      <c r="E57" s="9" t="s">
        <v>101</v>
      </c>
      <c r="F57" s="9">
        <v>2013</v>
      </c>
      <c r="G57" s="9" t="s">
        <v>102</v>
      </c>
    </row>
    <row r="58" spans="1:7" ht="15" thickBot="1" x14ac:dyDescent="0.4">
      <c r="A58" s="9">
        <v>55</v>
      </c>
      <c r="B58" s="9" t="s">
        <v>238</v>
      </c>
      <c r="C58" s="7" t="s">
        <v>239</v>
      </c>
      <c r="D58" s="9" t="s">
        <v>122</v>
      </c>
      <c r="E58" s="9" t="s">
        <v>101</v>
      </c>
      <c r="F58" s="9">
        <v>2017</v>
      </c>
      <c r="G58" s="9" t="s">
        <v>102</v>
      </c>
    </row>
    <row r="59" spans="1:7" ht="15" thickBot="1" x14ac:dyDescent="0.4">
      <c r="A59" s="9">
        <v>56</v>
      </c>
      <c r="B59" s="9" t="s">
        <v>240</v>
      </c>
      <c r="C59" s="7" t="s">
        <v>241</v>
      </c>
      <c r="D59" s="9" t="s">
        <v>242</v>
      </c>
      <c r="E59" s="9" t="s">
        <v>243</v>
      </c>
      <c r="F59" s="9">
        <v>2015</v>
      </c>
      <c r="G59" s="9" t="s">
        <v>107</v>
      </c>
    </row>
    <row r="60" spans="1:7" ht="28.5" thickBot="1" x14ac:dyDescent="0.4">
      <c r="A60" s="9">
        <v>57</v>
      </c>
      <c r="B60" s="9" t="s">
        <v>244</v>
      </c>
      <c r="C60" s="7" t="s">
        <v>245</v>
      </c>
      <c r="D60" s="9" t="s">
        <v>242</v>
      </c>
      <c r="E60" s="9" t="s">
        <v>243</v>
      </c>
      <c r="F60" s="9">
        <v>2011</v>
      </c>
      <c r="G60" s="9" t="s">
        <v>102</v>
      </c>
    </row>
    <row r="61" spans="1:7" ht="15" thickBot="1" x14ac:dyDescent="0.4">
      <c r="A61" s="9">
        <v>58</v>
      </c>
      <c r="B61" s="9" t="s">
        <v>246</v>
      </c>
      <c r="C61" s="7" t="s">
        <v>247</v>
      </c>
      <c r="D61" s="9" t="s">
        <v>242</v>
      </c>
      <c r="E61" s="9" t="s">
        <v>243</v>
      </c>
      <c r="F61" s="9">
        <v>2010</v>
      </c>
      <c r="G61" s="9" t="s">
        <v>102</v>
      </c>
    </row>
    <row r="62" spans="1:7" ht="15" thickBot="1" x14ac:dyDescent="0.4">
      <c r="A62" s="9">
        <v>59</v>
      </c>
      <c r="B62" s="9" t="s">
        <v>248</v>
      </c>
      <c r="C62" s="7" t="s">
        <v>249</v>
      </c>
      <c r="D62" s="9" t="s">
        <v>242</v>
      </c>
      <c r="E62" s="9" t="s">
        <v>243</v>
      </c>
      <c r="F62" s="9">
        <v>2006</v>
      </c>
      <c r="G62" s="9" t="s">
        <v>107</v>
      </c>
    </row>
    <row r="63" spans="1:7" ht="15" thickBot="1" x14ac:dyDescent="0.4">
      <c r="A63" s="9">
        <v>60</v>
      </c>
      <c r="B63" s="9" t="s">
        <v>250</v>
      </c>
      <c r="C63" s="7" t="s">
        <v>251</v>
      </c>
      <c r="D63" s="9" t="s">
        <v>242</v>
      </c>
      <c r="E63" s="9" t="s">
        <v>243</v>
      </c>
      <c r="F63" s="9">
        <v>2005</v>
      </c>
      <c r="G63" s="9" t="s">
        <v>102</v>
      </c>
    </row>
    <row r="64" spans="1:7" ht="15" thickBot="1" x14ac:dyDescent="0.4">
      <c r="A64" s="9">
        <v>61</v>
      </c>
      <c r="B64" s="9" t="s">
        <v>252</v>
      </c>
      <c r="C64" s="7" t="s">
        <v>253</v>
      </c>
      <c r="D64" s="9" t="s">
        <v>254</v>
      </c>
      <c r="E64" s="9" t="s">
        <v>126</v>
      </c>
      <c r="F64" s="9">
        <v>2015</v>
      </c>
      <c r="G64" s="9" t="s">
        <v>102</v>
      </c>
    </row>
    <row r="65" spans="1:7" ht="15" thickBot="1" x14ac:dyDescent="0.4">
      <c r="A65" s="9">
        <v>62</v>
      </c>
      <c r="B65" s="9" t="s">
        <v>255</v>
      </c>
      <c r="C65" s="7" t="s">
        <v>256</v>
      </c>
      <c r="D65" s="9" t="s">
        <v>254</v>
      </c>
      <c r="E65" s="9" t="s">
        <v>126</v>
      </c>
      <c r="F65" s="9">
        <v>2011</v>
      </c>
      <c r="G65" s="9" t="s">
        <v>107</v>
      </c>
    </row>
    <row r="66" spans="1:7" ht="15" thickBot="1" x14ac:dyDescent="0.4">
      <c r="A66" s="9">
        <v>63</v>
      </c>
      <c r="B66" s="9" t="s">
        <v>257</v>
      </c>
      <c r="C66" s="7" t="s">
        <v>258</v>
      </c>
      <c r="D66" s="9" t="s">
        <v>254</v>
      </c>
      <c r="E66" s="9" t="s">
        <v>126</v>
      </c>
      <c r="F66" s="9">
        <v>2012</v>
      </c>
      <c r="G66" s="9" t="s">
        <v>102</v>
      </c>
    </row>
    <row r="67" spans="1:7" ht="15" thickBot="1" x14ac:dyDescent="0.4">
      <c r="A67" s="9">
        <v>64</v>
      </c>
      <c r="B67" s="9" t="s">
        <v>259</v>
      </c>
      <c r="C67" s="7" t="s">
        <v>260</v>
      </c>
      <c r="D67" s="9" t="s">
        <v>254</v>
      </c>
      <c r="E67" s="9" t="s">
        <v>126</v>
      </c>
      <c r="F67" s="9">
        <v>2016</v>
      </c>
      <c r="G67" s="9" t="s">
        <v>102</v>
      </c>
    </row>
    <row r="68" spans="1:7" ht="15" thickBot="1" x14ac:dyDescent="0.4">
      <c r="A68" s="9">
        <v>65</v>
      </c>
      <c r="B68" s="9" t="s">
        <v>261</v>
      </c>
      <c r="C68" s="7" t="s">
        <v>262</v>
      </c>
      <c r="D68" s="9" t="s">
        <v>254</v>
      </c>
      <c r="E68" s="9" t="s">
        <v>126</v>
      </c>
      <c r="F68" s="9">
        <v>2022</v>
      </c>
      <c r="G68" s="9" t="s">
        <v>107</v>
      </c>
    </row>
    <row r="69" spans="1:7" ht="15" thickBot="1" x14ac:dyDescent="0.4">
      <c r="A69" s="9">
        <v>66</v>
      </c>
      <c r="B69" s="9" t="s">
        <v>263</v>
      </c>
      <c r="C69" s="7" t="s">
        <v>264</v>
      </c>
      <c r="D69" s="9" t="s">
        <v>265</v>
      </c>
      <c r="E69" s="9" t="s">
        <v>266</v>
      </c>
      <c r="F69" s="9">
        <v>2014</v>
      </c>
      <c r="G69" s="9" t="s">
        <v>102</v>
      </c>
    </row>
    <row r="70" spans="1:7" ht="15" thickBot="1" x14ac:dyDescent="0.4">
      <c r="A70" s="9">
        <v>67</v>
      </c>
      <c r="B70" s="9" t="s">
        <v>267</v>
      </c>
      <c r="C70" s="7" t="s">
        <v>268</v>
      </c>
      <c r="D70" s="9" t="s">
        <v>265</v>
      </c>
      <c r="E70" s="9" t="s">
        <v>243</v>
      </c>
      <c r="F70" s="9">
        <v>2003</v>
      </c>
      <c r="G70" s="9" t="s">
        <v>102</v>
      </c>
    </row>
    <row r="71" spans="1:7" ht="15" thickBot="1" x14ac:dyDescent="0.4">
      <c r="A71" s="9">
        <v>68</v>
      </c>
      <c r="B71" s="9" t="s">
        <v>269</v>
      </c>
      <c r="C71" s="7" t="s">
        <v>270</v>
      </c>
      <c r="D71" s="9" t="s">
        <v>265</v>
      </c>
      <c r="E71" s="9" t="s">
        <v>243</v>
      </c>
      <c r="F71" s="9">
        <v>2005</v>
      </c>
      <c r="G71" s="9" t="s">
        <v>107</v>
      </c>
    </row>
    <row r="72" spans="1:7" ht="15" thickBot="1" x14ac:dyDescent="0.4">
      <c r="A72" s="9">
        <v>69</v>
      </c>
      <c r="B72" s="9" t="s">
        <v>271</v>
      </c>
      <c r="C72" s="7" t="s">
        <v>272</v>
      </c>
      <c r="D72" s="9" t="s">
        <v>265</v>
      </c>
      <c r="E72" s="9" t="s">
        <v>146</v>
      </c>
      <c r="F72" s="9">
        <v>2007</v>
      </c>
      <c r="G72" s="9" t="s">
        <v>102</v>
      </c>
    </row>
    <row r="73" spans="1:7" ht="15" thickBot="1" x14ac:dyDescent="0.4">
      <c r="A73" s="9">
        <v>70</v>
      </c>
      <c r="B73" s="9" t="s">
        <v>273</v>
      </c>
      <c r="C73" s="7" t="s">
        <v>274</v>
      </c>
      <c r="D73" s="9" t="s">
        <v>265</v>
      </c>
      <c r="E73" s="9" t="s">
        <v>243</v>
      </c>
      <c r="F73" s="9">
        <v>2008</v>
      </c>
      <c r="G73" s="9" t="s">
        <v>102</v>
      </c>
    </row>
    <row r="74" spans="1:7" ht="15" thickBot="1" x14ac:dyDescent="0.4">
      <c r="A74" s="9">
        <v>71</v>
      </c>
      <c r="B74" s="9" t="s">
        <v>275</v>
      </c>
      <c r="C74" s="7" t="s">
        <v>276</v>
      </c>
      <c r="D74" s="9" t="s">
        <v>100</v>
      </c>
      <c r="E74" s="9" t="s">
        <v>101</v>
      </c>
      <c r="F74" s="9">
        <v>2019</v>
      </c>
      <c r="G74" s="9" t="s">
        <v>107</v>
      </c>
    </row>
    <row r="75" spans="1:7" ht="15" thickBot="1" x14ac:dyDescent="0.4">
      <c r="A75" s="9">
        <v>72</v>
      </c>
      <c r="B75" s="9" t="s">
        <v>277</v>
      </c>
      <c r="C75" s="7" t="s">
        <v>278</v>
      </c>
      <c r="D75" s="9" t="s">
        <v>100</v>
      </c>
      <c r="E75" s="9" t="s">
        <v>101</v>
      </c>
      <c r="F75" s="9">
        <v>2020</v>
      </c>
      <c r="G75" s="9" t="s">
        <v>102</v>
      </c>
    </row>
    <row r="76" spans="1:7" ht="15" thickBot="1" x14ac:dyDescent="0.4">
      <c r="A76" s="9">
        <v>73</v>
      </c>
      <c r="B76" s="9" t="s">
        <v>279</v>
      </c>
      <c r="C76" s="7" t="s">
        <v>280</v>
      </c>
      <c r="D76" s="9" t="s">
        <v>100</v>
      </c>
      <c r="E76" s="9" t="s">
        <v>101</v>
      </c>
      <c r="F76" s="9">
        <v>2022</v>
      </c>
      <c r="G76" s="9" t="s">
        <v>102</v>
      </c>
    </row>
    <row r="77" spans="1:7" ht="15" thickBot="1" x14ac:dyDescent="0.4">
      <c r="A77" s="9">
        <v>74</v>
      </c>
      <c r="B77" s="9" t="s">
        <v>281</v>
      </c>
      <c r="C77" s="7" t="s">
        <v>282</v>
      </c>
      <c r="D77" s="9" t="s">
        <v>114</v>
      </c>
      <c r="E77" s="9" t="s">
        <v>115</v>
      </c>
      <c r="F77" s="9">
        <v>2017</v>
      </c>
      <c r="G77" s="9" t="s">
        <v>107</v>
      </c>
    </row>
    <row r="78" spans="1:7" ht="15" thickBot="1" x14ac:dyDescent="0.4">
      <c r="A78" s="9">
        <v>75</v>
      </c>
      <c r="B78" s="9" t="s">
        <v>283</v>
      </c>
      <c r="C78" s="7" t="s">
        <v>284</v>
      </c>
      <c r="D78" s="9" t="s">
        <v>114</v>
      </c>
      <c r="E78" s="9" t="s">
        <v>221</v>
      </c>
      <c r="F78" s="9">
        <v>1989</v>
      </c>
      <c r="G78" s="9" t="s">
        <v>102</v>
      </c>
    </row>
    <row r="79" spans="1:7" ht="15" thickBot="1" x14ac:dyDescent="0.4">
      <c r="A79" s="9">
        <v>76</v>
      </c>
      <c r="B79" s="9" t="s">
        <v>285</v>
      </c>
      <c r="C79" s="7" t="s">
        <v>286</v>
      </c>
      <c r="D79" s="9" t="s">
        <v>287</v>
      </c>
      <c r="E79" s="9" t="s">
        <v>119</v>
      </c>
      <c r="F79" s="9">
        <v>2012</v>
      </c>
      <c r="G79" s="9" t="s">
        <v>102</v>
      </c>
    </row>
    <row r="80" spans="1:7" ht="15" thickBot="1" x14ac:dyDescent="0.4">
      <c r="A80" s="9">
        <v>77</v>
      </c>
      <c r="B80" s="9" t="s">
        <v>288</v>
      </c>
      <c r="C80" s="7" t="s">
        <v>289</v>
      </c>
      <c r="D80" s="9" t="s">
        <v>287</v>
      </c>
      <c r="E80" s="9" t="s">
        <v>290</v>
      </c>
      <c r="F80" s="9">
        <v>2014</v>
      </c>
      <c r="G80" s="9" t="s">
        <v>107</v>
      </c>
    </row>
    <row r="81" spans="1:7" ht="15" thickBot="1" x14ac:dyDescent="0.4">
      <c r="A81" s="9">
        <v>78</v>
      </c>
      <c r="B81" s="9" t="s">
        <v>291</v>
      </c>
      <c r="C81" s="7" t="s">
        <v>292</v>
      </c>
      <c r="D81" s="9" t="s">
        <v>118</v>
      </c>
      <c r="E81" s="9" t="s">
        <v>119</v>
      </c>
      <c r="F81" s="9">
        <v>2004</v>
      </c>
      <c r="G81" s="9" t="s">
        <v>102</v>
      </c>
    </row>
    <row r="82" spans="1:7" ht="28.5" thickBot="1" x14ac:dyDescent="0.4">
      <c r="A82" s="9">
        <v>79</v>
      </c>
      <c r="B82" s="9" t="s">
        <v>293</v>
      </c>
      <c r="C82" s="7" t="s">
        <v>294</v>
      </c>
      <c r="D82" s="9" t="s">
        <v>118</v>
      </c>
      <c r="E82" s="9" t="s">
        <v>119</v>
      </c>
      <c r="F82" s="9">
        <v>2014</v>
      </c>
      <c r="G82" s="9" t="s">
        <v>102</v>
      </c>
    </row>
    <row r="83" spans="1:7" ht="15" thickBot="1" x14ac:dyDescent="0.4">
      <c r="A83" s="9">
        <v>80</v>
      </c>
      <c r="B83" s="9" t="s">
        <v>295</v>
      </c>
      <c r="C83" s="7" t="s">
        <v>296</v>
      </c>
      <c r="D83" s="9" t="s">
        <v>118</v>
      </c>
      <c r="E83" s="9" t="s">
        <v>119</v>
      </c>
      <c r="F83" s="9">
        <v>2016</v>
      </c>
      <c r="G83" s="9" t="s">
        <v>107</v>
      </c>
    </row>
    <row r="84" spans="1:7" ht="15" thickBot="1" x14ac:dyDescent="0.4">
      <c r="A84" s="9">
        <v>81</v>
      </c>
      <c r="B84" s="9" t="s">
        <v>297</v>
      </c>
      <c r="C84" s="7" t="s">
        <v>298</v>
      </c>
      <c r="D84" s="9" t="s">
        <v>118</v>
      </c>
      <c r="E84" s="9" t="s">
        <v>221</v>
      </c>
      <c r="F84" s="9">
        <v>2000</v>
      </c>
      <c r="G84" s="9" t="s">
        <v>102</v>
      </c>
    </row>
    <row r="85" spans="1:7" ht="28.5" thickBot="1" x14ac:dyDescent="0.4">
      <c r="A85" s="9">
        <v>82</v>
      </c>
      <c r="B85" s="9" t="s">
        <v>299</v>
      </c>
      <c r="C85" s="7" t="s">
        <v>300</v>
      </c>
      <c r="D85" s="9" t="s">
        <v>301</v>
      </c>
      <c r="E85" s="9" t="s">
        <v>106</v>
      </c>
      <c r="F85" s="9">
        <v>2016</v>
      </c>
      <c r="G85" s="9" t="s">
        <v>102</v>
      </c>
    </row>
    <row r="86" spans="1:7" ht="28.5" thickBot="1" x14ac:dyDescent="0.4">
      <c r="A86" s="9">
        <v>83</v>
      </c>
      <c r="B86" s="9" t="s">
        <v>302</v>
      </c>
      <c r="C86" s="7" t="s">
        <v>303</v>
      </c>
      <c r="D86" s="9" t="s">
        <v>301</v>
      </c>
      <c r="E86" s="9" t="s">
        <v>221</v>
      </c>
      <c r="F86" s="9">
        <v>2017</v>
      </c>
      <c r="G86" s="9" t="s">
        <v>107</v>
      </c>
    </row>
    <row r="87" spans="1:7" ht="28.5" thickBot="1" x14ac:dyDescent="0.4">
      <c r="A87" s="9">
        <v>84</v>
      </c>
      <c r="B87" s="9" t="s">
        <v>304</v>
      </c>
      <c r="C87" s="7" t="s">
        <v>305</v>
      </c>
      <c r="D87" s="9" t="s">
        <v>306</v>
      </c>
      <c r="E87" s="9" t="s">
        <v>111</v>
      </c>
      <c r="F87" s="9">
        <v>2016</v>
      </c>
      <c r="G87" s="9" t="s">
        <v>102</v>
      </c>
    </row>
    <row r="88" spans="1:7" ht="15" thickBot="1" x14ac:dyDescent="0.4">
      <c r="A88" s="9">
        <v>85</v>
      </c>
      <c r="B88" s="9" t="s">
        <v>307</v>
      </c>
      <c r="C88" s="7" t="s">
        <v>308</v>
      </c>
      <c r="D88" s="9" t="s">
        <v>309</v>
      </c>
      <c r="E88" s="9" t="s">
        <v>111</v>
      </c>
      <c r="F88" s="9">
        <v>2018</v>
      </c>
      <c r="G88" s="9" t="s">
        <v>102</v>
      </c>
    </row>
    <row r="89" spans="1:7" ht="15" thickBot="1" x14ac:dyDescent="0.4">
      <c r="A89" s="9">
        <v>86</v>
      </c>
      <c r="B89" s="9" t="s">
        <v>310</v>
      </c>
      <c r="C89" s="7" t="s">
        <v>311</v>
      </c>
      <c r="D89" s="9" t="s">
        <v>312</v>
      </c>
      <c r="E89" s="9" t="s">
        <v>313</v>
      </c>
      <c r="F89" s="9">
        <v>2011</v>
      </c>
      <c r="G89" s="9" t="s">
        <v>107</v>
      </c>
    </row>
    <row r="90" spans="1:7" ht="15" thickBot="1" x14ac:dyDescent="0.4">
      <c r="A90" s="9">
        <v>87</v>
      </c>
      <c r="B90" s="9" t="s">
        <v>314</v>
      </c>
      <c r="C90" s="7" t="s">
        <v>315</v>
      </c>
      <c r="D90" s="9" t="s">
        <v>312</v>
      </c>
      <c r="E90" s="9" t="s">
        <v>313</v>
      </c>
      <c r="F90" s="9">
        <v>2015</v>
      </c>
      <c r="G90" s="9" t="s">
        <v>102</v>
      </c>
    </row>
    <row r="91" spans="1:7" ht="28.5" thickBot="1" x14ac:dyDescent="0.4">
      <c r="A91" s="9">
        <v>88</v>
      </c>
      <c r="B91" s="9" t="s">
        <v>316</v>
      </c>
      <c r="C91" s="7" t="s">
        <v>317</v>
      </c>
      <c r="D91" s="9" t="s">
        <v>312</v>
      </c>
      <c r="E91" s="9" t="s">
        <v>313</v>
      </c>
      <c r="F91" s="9">
        <v>2018</v>
      </c>
      <c r="G91" s="9" t="s">
        <v>102</v>
      </c>
    </row>
    <row r="92" spans="1:7" ht="15" thickBot="1" x14ac:dyDescent="0.4">
      <c r="A92" s="9">
        <v>89</v>
      </c>
      <c r="B92" s="9" t="s">
        <v>318</v>
      </c>
      <c r="C92" s="7" t="s">
        <v>319</v>
      </c>
      <c r="D92" s="9" t="s">
        <v>320</v>
      </c>
      <c r="E92" s="9" t="s">
        <v>321</v>
      </c>
      <c r="F92" s="9">
        <v>2020</v>
      </c>
      <c r="G92" s="9" t="s">
        <v>107</v>
      </c>
    </row>
    <row r="93" spans="1:7" ht="15" thickBot="1" x14ac:dyDescent="0.4">
      <c r="A93" s="9">
        <v>90</v>
      </c>
      <c r="B93" s="9" t="s">
        <v>322</v>
      </c>
      <c r="C93" s="7" t="s">
        <v>323</v>
      </c>
      <c r="D93" s="9" t="s">
        <v>324</v>
      </c>
      <c r="E93" s="9" t="s">
        <v>321</v>
      </c>
      <c r="F93" s="9">
        <v>1997</v>
      </c>
      <c r="G93" s="9" t="s">
        <v>102</v>
      </c>
    </row>
    <row r="94" spans="1:7" ht="15" thickBot="1" x14ac:dyDescent="0.4">
      <c r="A94" s="9">
        <v>91</v>
      </c>
      <c r="B94" s="9" t="s">
        <v>325</v>
      </c>
      <c r="C94" s="7" t="s">
        <v>326</v>
      </c>
      <c r="D94" s="9" t="s">
        <v>327</v>
      </c>
      <c r="E94" s="9" t="s">
        <v>328</v>
      </c>
      <c r="F94" s="9">
        <v>2009</v>
      </c>
      <c r="G94" s="9" t="s">
        <v>102</v>
      </c>
    </row>
    <row r="95" spans="1:7" ht="15" thickBot="1" x14ac:dyDescent="0.4">
      <c r="A95" s="9">
        <v>92</v>
      </c>
      <c r="B95" s="9" t="s">
        <v>329</v>
      </c>
      <c r="C95" s="7" t="s">
        <v>330</v>
      </c>
      <c r="D95" s="9" t="s">
        <v>331</v>
      </c>
      <c r="E95" s="9" t="s">
        <v>111</v>
      </c>
      <c r="F95" s="9">
        <v>2016</v>
      </c>
      <c r="G95" s="9" t="s">
        <v>107</v>
      </c>
    </row>
    <row r="96" spans="1:7" ht="15" thickBot="1" x14ac:dyDescent="0.4">
      <c r="A96" s="9">
        <v>93</v>
      </c>
      <c r="B96" s="9" t="s">
        <v>332</v>
      </c>
      <c r="C96" s="7" t="s">
        <v>333</v>
      </c>
      <c r="D96" s="9" t="s">
        <v>334</v>
      </c>
      <c r="E96" s="9" t="s">
        <v>111</v>
      </c>
      <c r="F96" s="9">
        <v>2016</v>
      </c>
      <c r="G96" s="9" t="s">
        <v>102</v>
      </c>
    </row>
    <row r="97" spans="1:7" ht="15" thickBot="1" x14ac:dyDescent="0.4">
      <c r="A97" s="9">
        <v>94</v>
      </c>
      <c r="B97" s="9" t="s">
        <v>335</v>
      </c>
      <c r="C97" s="7" t="s">
        <v>336</v>
      </c>
      <c r="D97" s="9" t="s">
        <v>337</v>
      </c>
      <c r="E97" s="9" t="s">
        <v>338</v>
      </c>
      <c r="F97" s="9">
        <v>2011</v>
      </c>
      <c r="G97" s="9" t="s">
        <v>102</v>
      </c>
    </row>
    <row r="98" spans="1:7" ht="15" thickBot="1" x14ac:dyDescent="0.4">
      <c r="A98" s="9">
        <v>95</v>
      </c>
      <c r="B98" s="9" t="s">
        <v>339</v>
      </c>
      <c r="C98" s="7" t="s">
        <v>340</v>
      </c>
      <c r="D98" s="9" t="s">
        <v>341</v>
      </c>
      <c r="E98" s="9" t="s">
        <v>338</v>
      </c>
      <c r="F98" s="9">
        <v>2012</v>
      </c>
      <c r="G98" s="9" t="s">
        <v>107</v>
      </c>
    </row>
    <row r="99" spans="1:7" ht="15" thickBot="1" x14ac:dyDescent="0.4">
      <c r="A99" s="9">
        <v>96</v>
      </c>
      <c r="B99" s="9" t="s">
        <v>342</v>
      </c>
      <c r="C99" s="7" t="s">
        <v>343</v>
      </c>
      <c r="D99" s="9" t="s">
        <v>344</v>
      </c>
      <c r="E99" s="9" t="s">
        <v>345</v>
      </c>
      <c r="F99" s="9">
        <v>2008</v>
      </c>
      <c r="G99" s="9" t="s">
        <v>102</v>
      </c>
    </row>
    <row r="100" spans="1:7" ht="15" thickBot="1" x14ac:dyDescent="0.4">
      <c r="A100" s="9">
        <v>97</v>
      </c>
      <c r="B100" s="9" t="s">
        <v>346</v>
      </c>
      <c r="C100" s="7" t="s">
        <v>347</v>
      </c>
      <c r="D100" s="9" t="s">
        <v>344</v>
      </c>
      <c r="E100" s="9" t="s">
        <v>338</v>
      </c>
      <c r="F100" s="9">
        <v>2005</v>
      </c>
      <c r="G100" s="9" t="s">
        <v>102</v>
      </c>
    </row>
    <row r="101" spans="1:7" ht="15" thickBot="1" x14ac:dyDescent="0.4">
      <c r="A101" s="9">
        <v>98</v>
      </c>
      <c r="B101" s="9" t="s">
        <v>348</v>
      </c>
      <c r="C101" s="7" t="s">
        <v>349</v>
      </c>
      <c r="D101" s="9" t="s">
        <v>344</v>
      </c>
      <c r="E101" s="9" t="s">
        <v>345</v>
      </c>
      <c r="F101" s="9">
        <v>2000</v>
      </c>
      <c r="G101" s="9" t="s">
        <v>107</v>
      </c>
    </row>
    <row r="102" spans="1:7" ht="28.5" thickBot="1" x14ac:dyDescent="0.4">
      <c r="A102" s="9">
        <v>99</v>
      </c>
      <c r="B102" s="9" t="s">
        <v>350</v>
      </c>
      <c r="C102" s="7" t="s">
        <v>351</v>
      </c>
      <c r="D102" s="9" t="s">
        <v>352</v>
      </c>
      <c r="E102" s="9" t="s">
        <v>338</v>
      </c>
      <c r="F102" s="9">
        <v>1946</v>
      </c>
      <c r="G102" s="9" t="s">
        <v>102</v>
      </c>
    </row>
    <row r="103" spans="1:7" ht="15" thickBot="1" x14ac:dyDescent="0.4">
      <c r="A103" s="9">
        <v>100</v>
      </c>
      <c r="B103" s="9" t="s">
        <v>353</v>
      </c>
      <c r="C103" s="7" t="s">
        <v>354</v>
      </c>
      <c r="D103" s="9" t="s">
        <v>355</v>
      </c>
      <c r="E103" s="9" t="s">
        <v>174</v>
      </c>
      <c r="F103" s="9">
        <v>180</v>
      </c>
      <c r="G103" s="9" t="s">
        <v>102</v>
      </c>
    </row>
  </sheetData>
  <mergeCells count="1">
    <mergeCell ref="A1:G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499A-72A5-47FA-AD8F-F8349AEEE497}">
  <dimension ref="A1:H81"/>
  <sheetViews>
    <sheetView topLeftCell="A72" workbookViewId="0">
      <selection activeCell="B2" sqref="B2:H81"/>
    </sheetView>
  </sheetViews>
  <sheetFormatPr defaultRowHeight="14.5" x14ac:dyDescent="0.35"/>
  <sheetData>
    <row r="1" spans="1:8" ht="28.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2" t="s">
        <v>6</v>
      </c>
      <c r="H1" s="3" t="s">
        <v>12</v>
      </c>
    </row>
    <row r="2" spans="1:8" ht="28.5" thickBot="1" x14ac:dyDescent="0.4">
      <c r="A2" s="4">
        <v>16</v>
      </c>
      <c r="B2" s="5">
        <v>46026</v>
      </c>
      <c r="C2" s="4" t="s">
        <v>13</v>
      </c>
      <c r="D2" s="4" t="s">
        <v>7</v>
      </c>
      <c r="E2" s="6">
        <v>12000</v>
      </c>
      <c r="F2" s="4">
        <v>2</v>
      </c>
      <c r="G2" s="6">
        <v>24000</v>
      </c>
      <c r="H2" s="7" t="s">
        <v>8</v>
      </c>
    </row>
    <row r="3" spans="1:8" ht="28.5" thickBot="1" x14ac:dyDescent="0.4">
      <c r="A3" s="4">
        <v>17</v>
      </c>
      <c r="B3" s="5">
        <v>46026</v>
      </c>
      <c r="C3" s="4" t="s">
        <v>14</v>
      </c>
      <c r="D3" s="4" t="s">
        <v>5</v>
      </c>
      <c r="E3" s="6">
        <v>10000</v>
      </c>
      <c r="F3" s="4">
        <v>1</v>
      </c>
      <c r="G3" s="6">
        <v>10000</v>
      </c>
      <c r="H3" s="7" t="s">
        <v>9</v>
      </c>
    </row>
    <row r="4" spans="1:8" ht="42.5" thickBot="1" x14ac:dyDescent="0.4">
      <c r="A4" s="4">
        <v>18</v>
      </c>
      <c r="B4" s="5">
        <v>46026</v>
      </c>
      <c r="C4" s="4" t="s">
        <v>15</v>
      </c>
      <c r="D4" s="4" t="s">
        <v>10</v>
      </c>
      <c r="E4" s="6">
        <v>2000</v>
      </c>
      <c r="F4" s="4">
        <v>5</v>
      </c>
      <c r="G4" s="6">
        <v>10000</v>
      </c>
      <c r="H4" s="7" t="s">
        <v>8</v>
      </c>
    </row>
    <row r="5" spans="1:8" ht="28.5" thickBot="1" x14ac:dyDescent="0.4">
      <c r="A5" s="4">
        <v>19</v>
      </c>
      <c r="B5" s="5">
        <v>46026</v>
      </c>
      <c r="C5" s="4" t="s">
        <v>16</v>
      </c>
      <c r="D5" s="4" t="s">
        <v>7</v>
      </c>
      <c r="E5" s="6">
        <v>12000</v>
      </c>
      <c r="F5" s="4">
        <v>1</v>
      </c>
      <c r="G5" s="6">
        <v>12000</v>
      </c>
      <c r="H5" s="7" t="s">
        <v>8</v>
      </c>
    </row>
    <row r="6" spans="1:8" ht="42.5" thickBot="1" x14ac:dyDescent="0.4">
      <c r="A6" s="4">
        <v>20</v>
      </c>
      <c r="B6" s="5">
        <v>46026</v>
      </c>
      <c r="C6" s="4" t="s">
        <v>17</v>
      </c>
      <c r="D6" s="4" t="s">
        <v>5</v>
      </c>
      <c r="E6" s="6">
        <v>12000</v>
      </c>
      <c r="F6" s="4">
        <v>1</v>
      </c>
      <c r="G6" s="6">
        <v>12000</v>
      </c>
      <c r="H6" s="7" t="s">
        <v>9</v>
      </c>
    </row>
    <row r="7" spans="1:8" ht="28.5" thickBot="1" x14ac:dyDescent="0.4">
      <c r="A7" s="4">
        <v>21</v>
      </c>
      <c r="B7" s="5">
        <v>46026</v>
      </c>
      <c r="C7" s="4" t="s">
        <v>18</v>
      </c>
      <c r="D7" s="4" t="s">
        <v>7</v>
      </c>
      <c r="E7" s="6">
        <v>15000</v>
      </c>
      <c r="F7" s="4">
        <v>1</v>
      </c>
      <c r="G7" s="6">
        <v>15000</v>
      </c>
      <c r="H7" s="7" t="s">
        <v>8</v>
      </c>
    </row>
    <row r="8" spans="1:8" ht="42.5" thickBot="1" x14ac:dyDescent="0.4">
      <c r="A8" s="4">
        <v>22</v>
      </c>
      <c r="B8" s="5">
        <v>46026</v>
      </c>
      <c r="C8" s="4" t="s">
        <v>19</v>
      </c>
      <c r="D8" s="4" t="s">
        <v>10</v>
      </c>
      <c r="E8" s="6">
        <v>2000</v>
      </c>
      <c r="F8" s="4">
        <v>3</v>
      </c>
      <c r="G8" s="6">
        <v>6000</v>
      </c>
      <c r="H8" s="7" t="s">
        <v>8</v>
      </c>
    </row>
    <row r="9" spans="1:8" ht="42.5" thickBot="1" x14ac:dyDescent="0.4">
      <c r="A9" s="4">
        <v>23</v>
      </c>
      <c r="B9" s="5">
        <v>46026</v>
      </c>
      <c r="C9" s="4" t="s">
        <v>20</v>
      </c>
      <c r="D9" s="4" t="s">
        <v>5</v>
      </c>
      <c r="E9" s="6">
        <v>12000</v>
      </c>
      <c r="F9" s="4">
        <v>2</v>
      </c>
      <c r="G9" s="6">
        <v>24000</v>
      </c>
      <c r="H9" s="7" t="s">
        <v>9</v>
      </c>
    </row>
    <row r="10" spans="1:8" ht="28.5" thickBot="1" x14ac:dyDescent="0.4">
      <c r="A10" s="4">
        <v>24</v>
      </c>
      <c r="B10" s="5">
        <v>46027</v>
      </c>
      <c r="C10" s="4" t="s">
        <v>21</v>
      </c>
      <c r="D10" s="4" t="s">
        <v>7</v>
      </c>
      <c r="E10" s="6">
        <v>20000</v>
      </c>
      <c r="F10" s="4">
        <v>1</v>
      </c>
      <c r="G10" s="6">
        <v>20000</v>
      </c>
      <c r="H10" s="7" t="s">
        <v>8</v>
      </c>
    </row>
    <row r="11" spans="1:8" ht="28.5" thickBot="1" x14ac:dyDescent="0.4">
      <c r="A11" s="4">
        <v>25</v>
      </c>
      <c r="B11" s="5">
        <v>46027</v>
      </c>
      <c r="C11" s="4" t="s">
        <v>22</v>
      </c>
      <c r="D11" s="4" t="s">
        <v>5</v>
      </c>
      <c r="E11" s="6">
        <v>5000</v>
      </c>
      <c r="F11" s="4">
        <v>2</v>
      </c>
      <c r="G11" s="6">
        <v>10000</v>
      </c>
      <c r="H11" s="7" t="s">
        <v>8</v>
      </c>
    </row>
    <row r="12" spans="1:8" ht="28.5" thickBot="1" x14ac:dyDescent="0.4">
      <c r="A12" s="4">
        <v>26</v>
      </c>
      <c r="B12" s="5">
        <v>46027</v>
      </c>
      <c r="C12" s="4" t="s">
        <v>23</v>
      </c>
      <c r="D12" s="4" t="s">
        <v>10</v>
      </c>
      <c r="E12" s="6">
        <v>2000</v>
      </c>
      <c r="F12" s="4">
        <v>4</v>
      </c>
      <c r="G12" s="6">
        <v>8000</v>
      </c>
      <c r="H12" s="7" t="s">
        <v>8</v>
      </c>
    </row>
    <row r="13" spans="1:8" ht="28.5" thickBot="1" x14ac:dyDescent="0.4">
      <c r="A13" s="4">
        <v>27</v>
      </c>
      <c r="B13" s="5">
        <v>46027</v>
      </c>
      <c r="C13" s="4" t="s">
        <v>24</v>
      </c>
      <c r="D13" s="4" t="s">
        <v>7</v>
      </c>
      <c r="E13" s="6">
        <v>15000</v>
      </c>
      <c r="F13" s="4">
        <v>1</v>
      </c>
      <c r="G13" s="6">
        <v>15000</v>
      </c>
      <c r="H13" s="7" t="s">
        <v>9</v>
      </c>
    </row>
    <row r="14" spans="1:8" ht="42.5" thickBot="1" x14ac:dyDescent="0.4">
      <c r="A14" s="4">
        <v>28</v>
      </c>
      <c r="B14" s="5">
        <v>46027</v>
      </c>
      <c r="C14" s="4" t="s">
        <v>25</v>
      </c>
      <c r="D14" s="4" t="s">
        <v>5</v>
      </c>
      <c r="E14" s="6">
        <v>10000</v>
      </c>
      <c r="F14" s="4">
        <v>1</v>
      </c>
      <c r="G14" s="6">
        <v>10000</v>
      </c>
      <c r="H14" s="7" t="s">
        <v>8</v>
      </c>
    </row>
    <row r="15" spans="1:8" ht="28.5" thickBot="1" x14ac:dyDescent="0.4">
      <c r="A15" s="4">
        <v>29</v>
      </c>
      <c r="B15" s="5">
        <v>46027</v>
      </c>
      <c r="C15" s="4" t="s">
        <v>26</v>
      </c>
      <c r="D15" s="4" t="s">
        <v>7</v>
      </c>
      <c r="E15" s="6">
        <v>18000</v>
      </c>
      <c r="F15" s="4">
        <v>1</v>
      </c>
      <c r="G15" s="6">
        <v>18000</v>
      </c>
      <c r="H15" s="7" t="s">
        <v>8</v>
      </c>
    </row>
    <row r="16" spans="1:8" ht="42.5" thickBot="1" x14ac:dyDescent="0.4">
      <c r="A16" s="4">
        <v>30</v>
      </c>
      <c r="B16" s="5">
        <v>46027</v>
      </c>
      <c r="C16" s="4" t="s">
        <v>27</v>
      </c>
      <c r="D16" s="4" t="s">
        <v>5</v>
      </c>
      <c r="E16" s="6">
        <v>8000</v>
      </c>
      <c r="F16" s="4">
        <v>2</v>
      </c>
      <c r="G16" s="6">
        <v>16000</v>
      </c>
      <c r="H16" s="7" t="s">
        <v>9</v>
      </c>
    </row>
    <row r="17" spans="1:8" ht="28.5" thickBot="1" x14ac:dyDescent="0.4">
      <c r="A17" s="4">
        <v>31</v>
      </c>
      <c r="B17" s="5">
        <v>46027</v>
      </c>
      <c r="C17" s="4" t="s">
        <v>28</v>
      </c>
      <c r="D17" s="4" t="s">
        <v>10</v>
      </c>
      <c r="E17" s="6">
        <v>3000</v>
      </c>
      <c r="F17" s="4">
        <v>3</v>
      </c>
      <c r="G17" s="6">
        <v>9000</v>
      </c>
      <c r="H17" s="7" t="s">
        <v>8</v>
      </c>
    </row>
    <row r="18" spans="1:8" ht="28.5" thickBot="1" x14ac:dyDescent="0.4">
      <c r="A18" s="4">
        <v>32</v>
      </c>
      <c r="B18" s="5">
        <v>46027</v>
      </c>
      <c r="C18" s="4" t="s">
        <v>29</v>
      </c>
      <c r="D18" s="4" t="s">
        <v>7</v>
      </c>
      <c r="E18" s="6">
        <v>12000</v>
      </c>
      <c r="F18" s="4">
        <v>1</v>
      </c>
      <c r="G18" s="6">
        <v>12000</v>
      </c>
      <c r="H18" s="7" t="s">
        <v>8</v>
      </c>
    </row>
    <row r="19" spans="1:8" ht="28.5" thickBot="1" x14ac:dyDescent="0.4">
      <c r="A19" s="4">
        <v>33</v>
      </c>
      <c r="B19" s="5">
        <v>46028</v>
      </c>
      <c r="C19" s="4" t="s">
        <v>30</v>
      </c>
      <c r="D19" s="4" t="s">
        <v>7</v>
      </c>
      <c r="E19" s="6">
        <v>10000</v>
      </c>
      <c r="F19" s="4">
        <v>2</v>
      </c>
      <c r="G19" s="6">
        <v>20000</v>
      </c>
      <c r="H19" s="7" t="s">
        <v>9</v>
      </c>
    </row>
    <row r="20" spans="1:8" ht="28.5" thickBot="1" x14ac:dyDescent="0.4">
      <c r="A20" s="4">
        <v>34</v>
      </c>
      <c r="B20" s="5">
        <v>46028</v>
      </c>
      <c r="C20" s="4" t="s">
        <v>31</v>
      </c>
      <c r="D20" s="4" t="s">
        <v>5</v>
      </c>
      <c r="E20" s="6">
        <v>7000</v>
      </c>
      <c r="F20" s="4">
        <v>1</v>
      </c>
      <c r="G20" s="6">
        <v>7000</v>
      </c>
      <c r="H20" s="7" t="s">
        <v>8</v>
      </c>
    </row>
    <row r="21" spans="1:8" ht="42.5" thickBot="1" x14ac:dyDescent="0.4">
      <c r="A21" s="4">
        <v>35</v>
      </c>
      <c r="B21" s="5">
        <v>46028</v>
      </c>
      <c r="C21" s="4" t="s">
        <v>32</v>
      </c>
      <c r="D21" s="4" t="s">
        <v>10</v>
      </c>
      <c r="E21" s="6">
        <v>5000</v>
      </c>
      <c r="F21" s="4">
        <v>2</v>
      </c>
      <c r="G21" s="6">
        <v>10000</v>
      </c>
      <c r="H21" s="7" t="s">
        <v>8</v>
      </c>
    </row>
    <row r="22" spans="1:8" ht="28.5" thickBot="1" x14ac:dyDescent="0.4">
      <c r="A22" s="4">
        <v>36</v>
      </c>
      <c r="B22" s="5">
        <v>46028</v>
      </c>
      <c r="C22" s="4" t="s">
        <v>33</v>
      </c>
      <c r="D22" s="4" t="s">
        <v>7</v>
      </c>
      <c r="E22" s="6">
        <v>15000</v>
      </c>
      <c r="F22" s="4">
        <v>1</v>
      </c>
      <c r="G22" s="6">
        <v>15000</v>
      </c>
      <c r="H22" s="7" t="s">
        <v>9</v>
      </c>
    </row>
    <row r="23" spans="1:8" ht="28.5" thickBot="1" x14ac:dyDescent="0.4">
      <c r="A23" s="4">
        <v>37</v>
      </c>
      <c r="B23" s="5">
        <v>46028</v>
      </c>
      <c r="C23" s="4" t="s">
        <v>34</v>
      </c>
      <c r="D23" s="4" t="s">
        <v>5</v>
      </c>
      <c r="E23" s="6">
        <v>8000</v>
      </c>
      <c r="F23" s="4">
        <v>1</v>
      </c>
      <c r="G23" s="6">
        <v>8000</v>
      </c>
      <c r="H23" s="7" t="s">
        <v>8</v>
      </c>
    </row>
    <row r="24" spans="1:8" ht="28.5" thickBot="1" x14ac:dyDescent="0.4">
      <c r="A24" s="4">
        <v>38</v>
      </c>
      <c r="B24" s="5">
        <v>46028</v>
      </c>
      <c r="C24" s="4" t="s">
        <v>35</v>
      </c>
      <c r="D24" s="4" t="s">
        <v>7</v>
      </c>
      <c r="E24" s="6">
        <v>15000</v>
      </c>
      <c r="F24" s="4">
        <v>1</v>
      </c>
      <c r="G24" s="6">
        <v>15000</v>
      </c>
      <c r="H24" s="7" t="s">
        <v>8</v>
      </c>
    </row>
    <row r="25" spans="1:8" ht="42.5" thickBot="1" x14ac:dyDescent="0.4">
      <c r="A25" s="4">
        <v>39</v>
      </c>
      <c r="B25" s="5">
        <v>46028</v>
      </c>
      <c r="C25" s="4" t="s">
        <v>36</v>
      </c>
      <c r="D25" s="4" t="s">
        <v>10</v>
      </c>
      <c r="E25" s="6">
        <v>20000</v>
      </c>
      <c r="F25" s="4">
        <v>1</v>
      </c>
      <c r="G25" s="6">
        <v>20000</v>
      </c>
      <c r="H25" s="7" t="s">
        <v>9</v>
      </c>
    </row>
    <row r="26" spans="1:8" ht="28.5" thickBot="1" x14ac:dyDescent="0.4">
      <c r="A26" s="4">
        <v>40</v>
      </c>
      <c r="B26" s="5">
        <v>46028</v>
      </c>
      <c r="C26" s="4" t="s">
        <v>37</v>
      </c>
      <c r="D26" s="4" t="s">
        <v>5</v>
      </c>
      <c r="E26" s="6">
        <v>10000</v>
      </c>
      <c r="F26" s="4">
        <v>1</v>
      </c>
      <c r="G26" s="6">
        <v>10000</v>
      </c>
      <c r="H26" s="7" t="s">
        <v>8</v>
      </c>
    </row>
    <row r="27" spans="1:8" ht="28.5" thickBot="1" x14ac:dyDescent="0.4">
      <c r="A27" s="4">
        <v>41</v>
      </c>
      <c r="B27" s="5">
        <v>46028</v>
      </c>
      <c r="C27" s="4" t="s">
        <v>38</v>
      </c>
      <c r="D27" s="4" t="s">
        <v>7</v>
      </c>
      <c r="E27" s="6">
        <v>12000</v>
      </c>
      <c r="F27" s="4">
        <v>1</v>
      </c>
      <c r="G27" s="6">
        <v>12000</v>
      </c>
      <c r="H27" s="7" t="s">
        <v>8</v>
      </c>
    </row>
    <row r="28" spans="1:8" ht="42.5" thickBot="1" x14ac:dyDescent="0.4">
      <c r="A28" s="4">
        <v>42</v>
      </c>
      <c r="B28" s="5">
        <v>46029</v>
      </c>
      <c r="C28" s="4" t="s">
        <v>39</v>
      </c>
      <c r="D28" s="4" t="s">
        <v>7</v>
      </c>
      <c r="E28" s="6">
        <v>15000</v>
      </c>
      <c r="F28" s="4">
        <v>1</v>
      </c>
      <c r="G28" s="6">
        <v>15000</v>
      </c>
      <c r="H28" s="7" t="s">
        <v>9</v>
      </c>
    </row>
    <row r="29" spans="1:8" ht="28.5" thickBot="1" x14ac:dyDescent="0.4">
      <c r="A29" s="4">
        <v>43</v>
      </c>
      <c r="B29" s="5">
        <v>46029</v>
      </c>
      <c r="C29" s="4" t="s">
        <v>40</v>
      </c>
      <c r="D29" s="4" t="s">
        <v>5</v>
      </c>
      <c r="E29" s="6">
        <v>5000</v>
      </c>
      <c r="F29" s="4">
        <v>2</v>
      </c>
      <c r="G29" s="6">
        <v>10000</v>
      </c>
      <c r="H29" s="7" t="s">
        <v>8</v>
      </c>
    </row>
    <row r="30" spans="1:8" ht="28.5" thickBot="1" x14ac:dyDescent="0.4">
      <c r="A30" s="4">
        <v>44</v>
      </c>
      <c r="B30" s="5">
        <v>46029</v>
      </c>
      <c r="C30" s="4" t="s">
        <v>41</v>
      </c>
      <c r="D30" s="4" t="s">
        <v>10</v>
      </c>
      <c r="E30" s="6">
        <v>2500</v>
      </c>
      <c r="F30" s="4">
        <v>4</v>
      </c>
      <c r="G30" s="6">
        <v>10000</v>
      </c>
      <c r="H30" s="7" t="s">
        <v>8</v>
      </c>
    </row>
    <row r="31" spans="1:8" ht="28.5" thickBot="1" x14ac:dyDescent="0.4">
      <c r="A31" s="4">
        <v>45</v>
      </c>
      <c r="B31" s="5">
        <v>46029</v>
      </c>
      <c r="C31" s="4" t="s">
        <v>42</v>
      </c>
      <c r="D31" s="4" t="s">
        <v>7</v>
      </c>
      <c r="E31" s="6">
        <v>17000</v>
      </c>
      <c r="F31" s="4">
        <v>1</v>
      </c>
      <c r="G31" s="6">
        <v>17000</v>
      </c>
      <c r="H31" s="7" t="s">
        <v>8</v>
      </c>
    </row>
    <row r="32" spans="1:8" ht="42.5" thickBot="1" x14ac:dyDescent="0.4">
      <c r="A32" s="4">
        <v>46</v>
      </c>
      <c r="B32" s="5">
        <v>46029</v>
      </c>
      <c r="C32" s="4" t="s">
        <v>43</v>
      </c>
      <c r="D32" s="4" t="s">
        <v>5</v>
      </c>
      <c r="E32" s="6">
        <v>8000</v>
      </c>
      <c r="F32" s="4">
        <v>2</v>
      </c>
      <c r="G32" s="6">
        <v>16000</v>
      </c>
      <c r="H32" s="7" t="s">
        <v>9</v>
      </c>
    </row>
    <row r="33" spans="1:8" ht="28.5" thickBot="1" x14ac:dyDescent="0.4">
      <c r="A33" s="4">
        <v>47</v>
      </c>
      <c r="B33" s="5">
        <v>46029</v>
      </c>
      <c r="C33" s="4" t="s">
        <v>44</v>
      </c>
      <c r="D33" s="4" t="s">
        <v>7</v>
      </c>
      <c r="E33" s="6">
        <v>20000</v>
      </c>
      <c r="F33" s="4">
        <v>1</v>
      </c>
      <c r="G33" s="6">
        <v>20000</v>
      </c>
      <c r="H33" s="7" t="s">
        <v>8</v>
      </c>
    </row>
    <row r="34" spans="1:8" ht="42.5" thickBot="1" x14ac:dyDescent="0.4">
      <c r="A34" s="4">
        <v>48</v>
      </c>
      <c r="B34" s="5">
        <v>46029</v>
      </c>
      <c r="C34" s="4" t="s">
        <v>45</v>
      </c>
      <c r="D34" s="4" t="s">
        <v>10</v>
      </c>
      <c r="E34" s="6">
        <v>5000</v>
      </c>
      <c r="F34" s="4">
        <v>2</v>
      </c>
      <c r="G34" s="6">
        <v>10000</v>
      </c>
      <c r="H34" s="7" t="s">
        <v>8</v>
      </c>
    </row>
    <row r="35" spans="1:8" ht="28.5" thickBot="1" x14ac:dyDescent="0.4">
      <c r="A35" s="4">
        <v>49</v>
      </c>
      <c r="B35" s="5">
        <v>46029</v>
      </c>
      <c r="C35" s="4" t="s">
        <v>46</v>
      </c>
      <c r="D35" s="4" t="s">
        <v>5</v>
      </c>
      <c r="E35" s="6">
        <v>10000</v>
      </c>
      <c r="F35" s="4">
        <v>1</v>
      </c>
      <c r="G35" s="6">
        <v>10000</v>
      </c>
      <c r="H35" s="7" t="s">
        <v>9</v>
      </c>
    </row>
    <row r="36" spans="1:8" ht="28.5" thickBot="1" x14ac:dyDescent="0.4">
      <c r="A36" s="4">
        <v>50</v>
      </c>
      <c r="B36" s="5">
        <v>46029</v>
      </c>
      <c r="C36" s="4" t="s">
        <v>47</v>
      </c>
      <c r="D36" s="4" t="s">
        <v>7</v>
      </c>
      <c r="E36" s="6">
        <v>22000</v>
      </c>
      <c r="F36" s="4">
        <v>1</v>
      </c>
      <c r="G36" s="6">
        <v>22000</v>
      </c>
      <c r="H36" s="7" t="s">
        <v>8</v>
      </c>
    </row>
    <row r="37" spans="1:8" ht="28.5" thickBot="1" x14ac:dyDescent="0.4">
      <c r="A37" s="4">
        <v>51</v>
      </c>
      <c r="B37" s="5">
        <v>46029</v>
      </c>
      <c r="C37" s="4" t="s">
        <v>48</v>
      </c>
      <c r="D37" s="4" t="s">
        <v>5</v>
      </c>
      <c r="E37" s="6">
        <v>4000</v>
      </c>
      <c r="F37" s="4">
        <v>3</v>
      </c>
      <c r="G37" s="6">
        <v>12000</v>
      </c>
      <c r="H37" s="7" t="s">
        <v>8</v>
      </c>
    </row>
    <row r="38" spans="1:8" ht="28.5" thickBot="1" x14ac:dyDescent="0.4">
      <c r="A38" s="4">
        <v>52</v>
      </c>
      <c r="B38" s="5">
        <v>46030</v>
      </c>
      <c r="C38" s="4" t="s">
        <v>49</v>
      </c>
      <c r="D38" s="4" t="s">
        <v>7</v>
      </c>
      <c r="E38" s="6">
        <v>15000</v>
      </c>
      <c r="F38" s="4">
        <v>1</v>
      </c>
      <c r="G38" s="6">
        <v>15000</v>
      </c>
      <c r="H38" s="7" t="s">
        <v>9</v>
      </c>
    </row>
    <row r="39" spans="1:8" ht="28.5" thickBot="1" x14ac:dyDescent="0.4">
      <c r="A39" s="4">
        <v>53</v>
      </c>
      <c r="B39" s="5">
        <v>46030</v>
      </c>
      <c r="C39" s="4" t="s">
        <v>50</v>
      </c>
      <c r="D39" s="4" t="s">
        <v>5</v>
      </c>
      <c r="E39" s="6">
        <v>7000</v>
      </c>
      <c r="F39" s="4">
        <v>1</v>
      </c>
      <c r="G39" s="6">
        <v>7000</v>
      </c>
      <c r="H39" s="7" t="s">
        <v>8</v>
      </c>
    </row>
    <row r="40" spans="1:8" ht="28.5" thickBot="1" x14ac:dyDescent="0.4">
      <c r="A40" s="4">
        <v>54</v>
      </c>
      <c r="B40" s="5">
        <v>46030</v>
      </c>
      <c r="C40" s="4" t="s">
        <v>51</v>
      </c>
      <c r="D40" s="4" t="s">
        <v>10</v>
      </c>
      <c r="E40" s="6">
        <v>3000</v>
      </c>
      <c r="F40" s="4">
        <v>3</v>
      </c>
      <c r="G40" s="6">
        <v>9000</v>
      </c>
      <c r="H40" s="7" t="s">
        <v>8</v>
      </c>
    </row>
    <row r="41" spans="1:8" ht="28.5" thickBot="1" x14ac:dyDescent="0.4">
      <c r="A41" s="4">
        <v>55</v>
      </c>
      <c r="B41" s="5">
        <v>46030</v>
      </c>
      <c r="C41" s="4" t="s">
        <v>52</v>
      </c>
      <c r="D41" s="4" t="s">
        <v>7</v>
      </c>
      <c r="E41" s="6">
        <v>18000</v>
      </c>
      <c r="F41" s="4">
        <v>1</v>
      </c>
      <c r="G41" s="6">
        <v>18000</v>
      </c>
      <c r="H41" s="7" t="s">
        <v>8</v>
      </c>
    </row>
    <row r="42" spans="1:8" ht="28.5" thickBot="1" x14ac:dyDescent="0.4">
      <c r="A42" s="4">
        <v>56</v>
      </c>
      <c r="B42" s="5">
        <v>46030</v>
      </c>
      <c r="C42" s="4" t="s">
        <v>53</v>
      </c>
      <c r="D42" s="4" t="s">
        <v>5</v>
      </c>
      <c r="E42" s="6">
        <v>5000</v>
      </c>
      <c r="F42" s="4">
        <v>2</v>
      </c>
      <c r="G42" s="6">
        <v>10000</v>
      </c>
      <c r="H42" s="7" t="s">
        <v>9</v>
      </c>
    </row>
    <row r="43" spans="1:8" ht="28.5" thickBot="1" x14ac:dyDescent="0.4">
      <c r="A43" s="4">
        <v>57</v>
      </c>
      <c r="B43" s="5">
        <v>46030</v>
      </c>
      <c r="C43" s="4" t="s">
        <v>54</v>
      </c>
      <c r="D43" s="4" t="s">
        <v>7</v>
      </c>
      <c r="E43" s="6">
        <v>25000</v>
      </c>
      <c r="F43" s="4">
        <v>1</v>
      </c>
      <c r="G43" s="6">
        <v>25000</v>
      </c>
      <c r="H43" s="7" t="s">
        <v>8</v>
      </c>
    </row>
    <row r="44" spans="1:8" ht="28.5" thickBot="1" x14ac:dyDescent="0.4">
      <c r="A44" s="4">
        <v>58</v>
      </c>
      <c r="B44" s="5">
        <v>46030</v>
      </c>
      <c r="C44" s="4" t="s">
        <v>55</v>
      </c>
      <c r="D44" s="4" t="s">
        <v>10</v>
      </c>
      <c r="E44" s="6">
        <v>5000</v>
      </c>
      <c r="F44" s="4">
        <v>1</v>
      </c>
      <c r="G44" s="6">
        <v>5000</v>
      </c>
      <c r="H44" s="7" t="s">
        <v>8</v>
      </c>
    </row>
    <row r="45" spans="1:8" ht="28.5" thickBot="1" x14ac:dyDescent="0.4">
      <c r="A45" s="4">
        <v>59</v>
      </c>
      <c r="B45" s="5">
        <v>46030</v>
      </c>
      <c r="C45" s="4" t="s">
        <v>56</v>
      </c>
      <c r="D45" s="4" t="s">
        <v>5</v>
      </c>
      <c r="E45" s="6">
        <v>10000</v>
      </c>
      <c r="F45" s="4">
        <v>1</v>
      </c>
      <c r="G45" s="6">
        <v>10000</v>
      </c>
      <c r="H45" s="7" t="s">
        <v>9</v>
      </c>
    </row>
    <row r="46" spans="1:8" ht="28.5" thickBot="1" x14ac:dyDescent="0.4">
      <c r="A46" s="4">
        <v>60</v>
      </c>
      <c r="B46" s="5">
        <v>46030</v>
      </c>
      <c r="C46" s="4" t="s">
        <v>57</v>
      </c>
      <c r="D46" s="4" t="s">
        <v>7</v>
      </c>
      <c r="E46" s="6">
        <v>15000</v>
      </c>
      <c r="F46" s="4">
        <v>2</v>
      </c>
      <c r="G46" s="6">
        <v>30000</v>
      </c>
      <c r="H46" s="7" t="s">
        <v>8</v>
      </c>
    </row>
    <row r="47" spans="1:8" ht="28.5" thickBot="1" x14ac:dyDescent="0.4">
      <c r="A47" s="4">
        <v>61</v>
      </c>
      <c r="B47" s="5">
        <v>46030</v>
      </c>
      <c r="C47" s="4" t="s">
        <v>58</v>
      </c>
      <c r="D47" s="4" t="s">
        <v>5</v>
      </c>
      <c r="E47" s="6">
        <v>8000</v>
      </c>
      <c r="F47" s="4">
        <v>1</v>
      </c>
      <c r="G47" s="6">
        <v>8000</v>
      </c>
      <c r="H47" s="7" t="s">
        <v>8</v>
      </c>
    </row>
    <row r="48" spans="1:8" ht="28.5" thickBot="1" x14ac:dyDescent="0.4">
      <c r="A48" s="4">
        <v>62</v>
      </c>
      <c r="B48" s="5">
        <v>46031</v>
      </c>
      <c r="C48" s="4" t="s">
        <v>59</v>
      </c>
      <c r="D48" s="4" t="s">
        <v>7</v>
      </c>
      <c r="E48" s="6">
        <v>35000</v>
      </c>
      <c r="F48" s="4">
        <v>1</v>
      </c>
      <c r="G48" s="6">
        <v>35000</v>
      </c>
      <c r="H48" s="7" t="s">
        <v>9</v>
      </c>
    </row>
    <row r="49" spans="1:8" ht="28.5" thickBot="1" x14ac:dyDescent="0.4">
      <c r="A49" s="4">
        <v>63</v>
      </c>
      <c r="B49" s="5">
        <v>46031</v>
      </c>
      <c r="C49" s="4" t="s">
        <v>60</v>
      </c>
      <c r="D49" s="4" t="s">
        <v>5</v>
      </c>
      <c r="E49" s="6">
        <v>20000</v>
      </c>
      <c r="F49" s="4">
        <v>1</v>
      </c>
      <c r="G49" s="6">
        <v>20000</v>
      </c>
      <c r="H49" s="7" t="s">
        <v>8</v>
      </c>
    </row>
    <row r="50" spans="1:8" ht="28.5" thickBot="1" x14ac:dyDescent="0.4">
      <c r="A50" s="4">
        <v>64</v>
      </c>
      <c r="B50" s="5">
        <v>46031</v>
      </c>
      <c r="C50" s="4" t="s">
        <v>61</v>
      </c>
      <c r="D50" s="4" t="s">
        <v>10</v>
      </c>
      <c r="E50" s="6">
        <v>1000</v>
      </c>
      <c r="F50" s="4">
        <v>10</v>
      </c>
      <c r="G50" s="6">
        <v>10000</v>
      </c>
      <c r="H50" s="7" t="s">
        <v>8</v>
      </c>
    </row>
    <row r="51" spans="1:8" ht="28.5" thickBot="1" x14ac:dyDescent="0.4">
      <c r="A51" s="4">
        <v>65</v>
      </c>
      <c r="B51" s="5">
        <v>46031</v>
      </c>
      <c r="C51" s="4" t="s">
        <v>62</v>
      </c>
      <c r="D51" s="4" t="s">
        <v>7</v>
      </c>
      <c r="E51" s="6">
        <v>13000</v>
      </c>
      <c r="F51" s="4">
        <v>2</v>
      </c>
      <c r="G51" s="6">
        <v>26000</v>
      </c>
      <c r="H51" s="7" t="s">
        <v>8</v>
      </c>
    </row>
    <row r="52" spans="1:8" ht="28.5" thickBot="1" x14ac:dyDescent="0.4">
      <c r="A52" s="4">
        <v>66</v>
      </c>
      <c r="B52" s="5">
        <v>46031</v>
      </c>
      <c r="C52" s="4" t="s">
        <v>63</v>
      </c>
      <c r="D52" s="4" t="s">
        <v>5</v>
      </c>
      <c r="E52" s="6">
        <v>15000</v>
      </c>
      <c r="F52" s="4">
        <v>1</v>
      </c>
      <c r="G52" s="6">
        <v>15000</v>
      </c>
      <c r="H52" s="7" t="s">
        <v>9</v>
      </c>
    </row>
    <row r="53" spans="1:8" ht="28.5" thickBot="1" x14ac:dyDescent="0.4">
      <c r="A53" s="4">
        <v>67</v>
      </c>
      <c r="B53" s="5">
        <v>46031</v>
      </c>
      <c r="C53" s="4" t="s">
        <v>64</v>
      </c>
      <c r="D53" s="4" t="s">
        <v>7</v>
      </c>
      <c r="E53" s="6">
        <v>20000</v>
      </c>
      <c r="F53" s="4">
        <v>1</v>
      </c>
      <c r="G53" s="6">
        <v>20000</v>
      </c>
      <c r="H53" s="7" t="s">
        <v>8</v>
      </c>
    </row>
    <row r="54" spans="1:8" ht="28.5" thickBot="1" x14ac:dyDescent="0.4">
      <c r="A54" s="4">
        <v>68</v>
      </c>
      <c r="B54" s="5">
        <v>46031</v>
      </c>
      <c r="C54" s="4" t="s">
        <v>65</v>
      </c>
      <c r="D54" s="4" t="s">
        <v>10</v>
      </c>
      <c r="E54" s="6">
        <v>7000</v>
      </c>
      <c r="F54" s="4">
        <v>1</v>
      </c>
      <c r="G54" s="6">
        <v>7000</v>
      </c>
      <c r="H54" s="7" t="s">
        <v>8</v>
      </c>
    </row>
    <row r="55" spans="1:8" ht="28.5" thickBot="1" x14ac:dyDescent="0.4">
      <c r="A55" s="4">
        <v>69</v>
      </c>
      <c r="B55" s="5">
        <v>46031</v>
      </c>
      <c r="C55" s="4" t="s">
        <v>66</v>
      </c>
      <c r="D55" s="4" t="s">
        <v>5</v>
      </c>
      <c r="E55" s="6">
        <v>10000</v>
      </c>
      <c r="F55" s="4">
        <v>1</v>
      </c>
      <c r="G55" s="6">
        <v>10000</v>
      </c>
      <c r="H55" s="7" t="s">
        <v>9</v>
      </c>
    </row>
    <row r="56" spans="1:8" ht="28.5" thickBot="1" x14ac:dyDescent="0.4">
      <c r="A56" s="4">
        <v>70</v>
      </c>
      <c r="B56" s="5">
        <v>46031</v>
      </c>
      <c r="C56" s="4" t="s">
        <v>67</v>
      </c>
      <c r="D56" s="4" t="s">
        <v>7</v>
      </c>
      <c r="E56" s="6">
        <v>15000</v>
      </c>
      <c r="F56" s="4">
        <v>2</v>
      </c>
      <c r="G56" s="6">
        <v>30000</v>
      </c>
      <c r="H56" s="7" t="s">
        <v>8</v>
      </c>
    </row>
    <row r="57" spans="1:8" ht="28.5" thickBot="1" x14ac:dyDescent="0.4">
      <c r="A57" s="4">
        <v>71</v>
      </c>
      <c r="B57" s="5">
        <v>46031</v>
      </c>
      <c r="C57" s="4" t="s">
        <v>68</v>
      </c>
      <c r="D57" s="4" t="s">
        <v>5</v>
      </c>
      <c r="E57" s="6">
        <v>7000</v>
      </c>
      <c r="F57" s="4">
        <v>2</v>
      </c>
      <c r="G57" s="6">
        <v>14000</v>
      </c>
      <c r="H57" s="7" t="s">
        <v>8</v>
      </c>
    </row>
    <row r="58" spans="1:8" ht="28.5" thickBot="1" x14ac:dyDescent="0.4">
      <c r="A58" s="4">
        <v>72</v>
      </c>
      <c r="B58" s="5">
        <v>46032</v>
      </c>
      <c r="C58" s="4" t="s">
        <v>69</v>
      </c>
      <c r="D58" s="4" t="s">
        <v>7</v>
      </c>
      <c r="E58" s="6">
        <v>25000</v>
      </c>
      <c r="F58" s="4">
        <v>1</v>
      </c>
      <c r="G58" s="6">
        <v>25000</v>
      </c>
      <c r="H58" s="7" t="s">
        <v>9</v>
      </c>
    </row>
    <row r="59" spans="1:8" ht="42.5" thickBot="1" x14ac:dyDescent="0.4">
      <c r="A59" s="4">
        <v>73</v>
      </c>
      <c r="B59" s="5">
        <v>46032</v>
      </c>
      <c r="C59" s="4" t="s">
        <v>70</v>
      </c>
      <c r="D59" s="4" t="s">
        <v>5</v>
      </c>
      <c r="E59" s="6">
        <v>15000</v>
      </c>
      <c r="F59" s="4">
        <v>1</v>
      </c>
      <c r="G59" s="6">
        <v>15000</v>
      </c>
      <c r="H59" s="7" t="s">
        <v>8</v>
      </c>
    </row>
    <row r="60" spans="1:8" ht="28.5" thickBot="1" x14ac:dyDescent="0.4">
      <c r="A60" s="4">
        <v>74</v>
      </c>
      <c r="B60" s="5">
        <v>46032</v>
      </c>
      <c r="C60" s="4" t="s">
        <v>71</v>
      </c>
      <c r="D60" s="4" t="s">
        <v>10</v>
      </c>
      <c r="E60" s="6">
        <v>4000</v>
      </c>
      <c r="F60" s="4">
        <v>3</v>
      </c>
      <c r="G60" s="6">
        <v>12000</v>
      </c>
      <c r="H60" s="7" t="s">
        <v>8</v>
      </c>
    </row>
    <row r="61" spans="1:8" ht="28.5" thickBot="1" x14ac:dyDescent="0.4">
      <c r="A61" s="4">
        <v>75</v>
      </c>
      <c r="B61" s="5">
        <v>46032</v>
      </c>
      <c r="C61" s="4" t="s">
        <v>72</v>
      </c>
      <c r="D61" s="4" t="s">
        <v>7</v>
      </c>
      <c r="E61" s="6">
        <v>18000</v>
      </c>
      <c r="F61" s="4">
        <v>1</v>
      </c>
      <c r="G61" s="6">
        <v>18000</v>
      </c>
      <c r="H61" s="7" t="s">
        <v>8</v>
      </c>
    </row>
    <row r="62" spans="1:8" ht="42.5" thickBot="1" x14ac:dyDescent="0.4">
      <c r="A62" s="4">
        <v>76</v>
      </c>
      <c r="B62" s="5">
        <v>46032</v>
      </c>
      <c r="C62" s="4" t="s">
        <v>73</v>
      </c>
      <c r="D62" s="4" t="s">
        <v>5</v>
      </c>
      <c r="E62" s="6">
        <v>6000</v>
      </c>
      <c r="F62" s="4">
        <v>2</v>
      </c>
      <c r="G62" s="6">
        <v>12000</v>
      </c>
      <c r="H62" s="7" t="s">
        <v>9</v>
      </c>
    </row>
    <row r="63" spans="1:8" ht="28.5" thickBot="1" x14ac:dyDescent="0.4">
      <c r="A63" s="4">
        <v>77</v>
      </c>
      <c r="B63" s="5">
        <v>46032</v>
      </c>
      <c r="C63" s="4" t="s">
        <v>74</v>
      </c>
      <c r="D63" s="4" t="s">
        <v>10</v>
      </c>
      <c r="E63" s="6">
        <v>10000</v>
      </c>
      <c r="F63" s="4">
        <v>1</v>
      </c>
      <c r="G63" s="6">
        <v>10000</v>
      </c>
      <c r="H63" s="7" t="s">
        <v>8</v>
      </c>
    </row>
    <row r="64" spans="1:8" ht="28.5" thickBot="1" x14ac:dyDescent="0.4">
      <c r="A64" s="4">
        <v>78</v>
      </c>
      <c r="B64" s="5">
        <v>46032</v>
      </c>
      <c r="C64" s="4" t="s">
        <v>75</v>
      </c>
      <c r="D64" s="4" t="s">
        <v>7</v>
      </c>
      <c r="E64" s="6">
        <v>15000</v>
      </c>
      <c r="F64" s="4">
        <v>1</v>
      </c>
      <c r="G64" s="6">
        <v>15000</v>
      </c>
      <c r="H64" s="7" t="s">
        <v>8</v>
      </c>
    </row>
    <row r="65" spans="1:8" ht="28.5" thickBot="1" x14ac:dyDescent="0.4">
      <c r="A65" s="4">
        <v>79</v>
      </c>
      <c r="B65" s="5">
        <v>46032</v>
      </c>
      <c r="C65" s="4" t="s">
        <v>76</v>
      </c>
      <c r="D65" s="4" t="s">
        <v>5</v>
      </c>
      <c r="E65" s="6">
        <v>12000</v>
      </c>
      <c r="F65" s="4">
        <v>1</v>
      </c>
      <c r="G65" s="6">
        <v>12000</v>
      </c>
      <c r="H65" s="7" t="s">
        <v>9</v>
      </c>
    </row>
    <row r="66" spans="1:8" ht="28.5" thickBot="1" x14ac:dyDescent="0.4">
      <c r="A66" s="4">
        <v>80</v>
      </c>
      <c r="B66" s="5">
        <v>46032</v>
      </c>
      <c r="C66" s="4" t="s">
        <v>77</v>
      </c>
      <c r="D66" s="4" t="s">
        <v>7</v>
      </c>
      <c r="E66" s="6">
        <v>15000</v>
      </c>
      <c r="F66" s="4">
        <v>1</v>
      </c>
      <c r="G66" s="6">
        <v>15000</v>
      </c>
      <c r="H66" s="7" t="s">
        <v>8</v>
      </c>
    </row>
    <row r="67" spans="1:8" ht="42.5" thickBot="1" x14ac:dyDescent="0.4">
      <c r="A67" s="4">
        <v>81</v>
      </c>
      <c r="B67" s="5">
        <v>46032</v>
      </c>
      <c r="C67" s="4" t="s">
        <v>78</v>
      </c>
      <c r="D67" s="4" t="s">
        <v>5</v>
      </c>
      <c r="E67" s="6">
        <v>10000</v>
      </c>
      <c r="F67" s="4">
        <v>1</v>
      </c>
      <c r="G67" s="6">
        <v>10000</v>
      </c>
      <c r="H67" s="7" t="s">
        <v>8</v>
      </c>
    </row>
    <row r="68" spans="1:8" ht="42.5" thickBot="1" x14ac:dyDescent="0.4">
      <c r="A68" s="4">
        <v>82</v>
      </c>
      <c r="B68" s="5">
        <v>46032</v>
      </c>
      <c r="C68" s="4" t="s">
        <v>79</v>
      </c>
      <c r="D68" s="4" t="s">
        <v>10</v>
      </c>
      <c r="E68" s="6">
        <v>25000</v>
      </c>
      <c r="F68" s="4">
        <v>1</v>
      </c>
      <c r="G68" s="6">
        <v>25000</v>
      </c>
      <c r="H68" s="7" t="s">
        <v>9</v>
      </c>
    </row>
    <row r="69" spans="1:8" ht="28.5" thickBot="1" x14ac:dyDescent="0.4">
      <c r="A69" s="4">
        <v>83</v>
      </c>
      <c r="B69" s="5">
        <v>46032</v>
      </c>
      <c r="C69" s="4" t="s">
        <v>80</v>
      </c>
      <c r="D69" s="4" t="s">
        <v>7</v>
      </c>
      <c r="E69" s="6">
        <v>15000</v>
      </c>
      <c r="F69" s="4">
        <v>1</v>
      </c>
      <c r="G69" s="6">
        <v>15000</v>
      </c>
      <c r="H69" s="7" t="s">
        <v>8</v>
      </c>
    </row>
    <row r="70" spans="1:8" ht="42.5" thickBot="1" x14ac:dyDescent="0.4">
      <c r="A70" s="4">
        <v>84</v>
      </c>
      <c r="B70" s="5">
        <v>46032</v>
      </c>
      <c r="C70" s="4" t="s">
        <v>81</v>
      </c>
      <c r="D70" s="4" t="s">
        <v>5</v>
      </c>
      <c r="E70" s="6">
        <v>10000</v>
      </c>
      <c r="F70" s="4">
        <v>1</v>
      </c>
      <c r="G70" s="6">
        <v>10000</v>
      </c>
      <c r="H70" s="7" t="s">
        <v>8</v>
      </c>
    </row>
    <row r="71" spans="1:8" ht="28.5" thickBot="1" x14ac:dyDescent="0.4">
      <c r="A71" s="4">
        <v>85</v>
      </c>
      <c r="B71" s="5">
        <v>46032</v>
      </c>
      <c r="C71" s="4" t="s">
        <v>82</v>
      </c>
      <c r="D71" s="4" t="s">
        <v>10</v>
      </c>
      <c r="E71" s="6">
        <v>2000</v>
      </c>
      <c r="F71" s="4">
        <v>10</v>
      </c>
      <c r="G71" s="6">
        <v>20000</v>
      </c>
      <c r="H71" s="7" t="s">
        <v>8</v>
      </c>
    </row>
    <row r="72" spans="1:8" ht="28.5" thickBot="1" x14ac:dyDescent="0.4">
      <c r="A72" s="4">
        <v>86</v>
      </c>
      <c r="B72" s="5">
        <v>46032</v>
      </c>
      <c r="C72" s="4" t="s">
        <v>83</v>
      </c>
      <c r="D72" s="4" t="s">
        <v>7</v>
      </c>
      <c r="E72" s="6">
        <v>18000</v>
      </c>
      <c r="F72" s="4">
        <v>1</v>
      </c>
      <c r="G72" s="6">
        <v>18000</v>
      </c>
      <c r="H72" s="7" t="s">
        <v>9</v>
      </c>
    </row>
    <row r="73" spans="1:8" ht="42.5" thickBot="1" x14ac:dyDescent="0.4">
      <c r="A73" s="4">
        <v>87</v>
      </c>
      <c r="B73" s="5">
        <v>46032</v>
      </c>
      <c r="C73" s="4" t="s">
        <v>84</v>
      </c>
      <c r="D73" s="4" t="s">
        <v>5</v>
      </c>
      <c r="E73" s="6">
        <v>12000</v>
      </c>
      <c r="F73" s="4">
        <v>1</v>
      </c>
      <c r="G73" s="6">
        <v>12000</v>
      </c>
      <c r="H73" s="7" t="s">
        <v>8</v>
      </c>
    </row>
    <row r="74" spans="1:8" ht="28.5" thickBot="1" x14ac:dyDescent="0.4">
      <c r="A74" s="4">
        <v>88</v>
      </c>
      <c r="B74" s="5">
        <v>46032</v>
      </c>
      <c r="C74" s="4" t="s">
        <v>85</v>
      </c>
      <c r="D74" s="4" t="s">
        <v>10</v>
      </c>
      <c r="E74" s="6">
        <v>2000</v>
      </c>
      <c r="F74" s="4">
        <v>5</v>
      </c>
      <c r="G74" s="6">
        <v>10000</v>
      </c>
      <c r="H74" s="7" t="s">
        <v>8</v>
      </c>
    </row>
    <row r="75" spans="1:8" ht="28.5" thickBot="1" x14ac:dyDescent="0.4">
      <c r="A75" s="4">
        <v>89</v>
      </c>
      <c r="B75" s="5">
        <v>46032</v>
      </c>
      <c r="C75" s="4" t="s">
        <v>86</v>
      </c>
      <c r="D75" s="4" t="s">
        <v>7</v>
      </c>
      <c r="E75" s="6">
        <v>20000</v>
      </c>
      <c r="F75" s="4">
        <v>1</v>
      </c>
      <c r="G75" s="6">
        <v>20000</v>
      </c>
      <c r="H75" s="7" t="s">
        <v>9</v>
      </c>
    </row>
    <row r="76" spans="1:8" ht="28.5" thickBot="1" x14ac:dyDescent="0.4">
      <c r="A76" s="4">
        <v>90</v>
      </c>
      <c r="B76" s="5">
        <v>46032</v>
      </c>
      <c r="C76" s="4" t="s">
        <v>87</v>
      </c>
      <c r="D76" s="4" t="s">
        <v>5</v>
      </c>
      <c r="E76" s="6">
        <v>10000</v>
      </c>
      <c r="F76" s="4">
        <v>1</v>
      </c>
      <c r="G76" s="6">
        <v>10000</v>
      </c>
      <c r="H76" s="7" t="s">
        <v>8</v>
      </c>
    </row>
    <row r="77" spans="1:8" ht="28.5" thickBot="1" x14ac:dyDescent="0.4">
      <c r="A77" s="4">
        <v>91</v>
      </c>
      <c r="B77" s="5">
        <v>46032</v>
      </c>
      <c r="C77" s="4" t="s">
        <v>88</v>
      </c>
      <c r="D77" s="4" t="s">
        <v>7</v>
      </c>
      <c r="E77" s="6">
        <v>15000</v>
      </c>
      <c r="F77" s="4">
        <v>1</v>
      </c>
      <c r="G77" s="6">
        <v>15000</v>
      </c>
      <c r="H77" s="7" t="s">
        <v>8</v>
      </c>
    </row>
    <row r="78" spans="1:8" ht="42.5" thickBot="1" x14ac:dyDescent="0.4">
      <c r="A78" s="4">
        <v>92</v>
      </c>
      <c r="B78" s="5">
        <v>46032</v>
      </c>
      <c r="C78" s="4" t="s">
        <v>89</v>
      </c>
      <c r="D78" s="4" t="s">
        <v>5</v>
      </c>
      <c r="E78" s="6">
        <v>10000</v>
      </c>
      <c r="F78" s="4">
        <v>1</v>
      </c>
      <c r="G78" s="6">
        <v>10000</v>
      </c>
      <c r="H78" s="7" t="s">
        <v>9</v>
      </c>
    </row>
    <row r="79" spans="1:8" ht="28.5" thickBot="1" x14ac:dyDescent="0.4">
      <c r="A79" s="4">
        <v>93</v>
      </c>
      <c r="B79" s="5">
        <v>46032</v>
      </c>
      <c r="C79" s="4" t="s">
        <v>90</v>
      </c>
      <c r="D79" s="4" t="s">
        <v>10</v>
      </c>
      <c r="E79" s="6">
        <v>1000</v>
      </c>
      <c r="F79" s="4">
        <v>10</v>
      </c>
      <c r="G79" s="6">
        <v>10000</v>
      </c>
      <c r="H79" s="7" t="s">
        <v>8</v>
      </c>
    </row>
    <row r="80" spans="1:8" ht="28.5" thickBot="1" x14ac:dyDescent="0.4">
      <c r="A80" s="4">
        <v>94</v>
      </c>
      <c r="B80" s="5">
        <v>46032</v>
      </c>
      <c r="C80" s="4" t="s">
        <v>91</v>
      </c>
      <c r="D80" s="4" t="s">
        <v>7</v>
      </c>
      <c r="E80" s="6">
        <v>15000</v>
      </c>
      <c r="F80" s="4">
        <v>1</v>
      </c>
      <c r="G80" s="6">
        <v>15000</v>
      </c>
      <c r="H80" s="7" t="s">
        <v>8</v>
      </c>
    </row>
    <row r="81" spans="1:8" ht="42.5" thickBot="1" x14ac:dyDescent="0.4">
      <c r="A81" s="4">
        <v>95</v>
      </c>
      <c r="B81" s="5">
        <v>46032</v>
      </c>
      <c r="C81" s="4" t="s">
        <v>92</v>
      </c>
      <c r="D81" s="4" t="s">
        <v>5</v>
      </c>
      <c r="E81" s="6">
        <v>5000</v>
      </c>
      <c r="F81" s="4">
        <v>2</v>
      </c>
      <c r="G81" s="6">
        <v>10000</v>
      </c>
      <c r="H81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Zartika Putri</dc:creator>
  <cp:lastModifiedBy>Lenovo T14s Gen1</cp:lastModifiedBy>
  <dcterms:created xsi:type="dcterms:W3CDTF">2026-01-13T14:40:55Z</dcterms:created>
  <dcterms:modified xsi:type="dcterms:W3CDTF">2026-01-23T10:49:43Z</dcterms:modified>
</cp:coreProperties>
</file>